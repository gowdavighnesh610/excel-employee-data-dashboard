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ouri\Downloads\"/>
    </mc:Choice>
  </mc:AlternateContent>
  <xr:revisionPtr revIDLastSave="0" documentId="13_ncr:1_{B21EDA6D-614C-4C8C-9345-28A09BAA0E97}" xr6:coauthVersionLast="47" xr6:coauthVersionMax="47" xr10:uidLastSave="{00000000-0000-0000-0000-000000000000}"/>
  <bookViews>
    <workbookView xWindow="-120" yWindow="-120" windowWidth="29040" windowHeight="15720" xr2:uid="{00000000-000D-0000-FFFF-FFFF00000000}"/>
  </bookViews>
  <sheets>
    <sheet name="Employee_Data" sheetId="1" r:id="rId1"/>
    <sheet name="important KPIs" sheetId="3" r:id="rId2"/>
    <sheet name="pivot charts" sheetId="5" r:id="rId3"/>
    <sheet name="dashboard" sheetId="4" r:id="rId4"/>
    <sheet name="Sheet6" sheetId="8" r:id="rId5"/>
    <sheet name="Sheet7" sheetId="9" r:id="rId6"/>
    <sheet name="Sheet8" sheetId="10" r:id="rId7"/>
    <sheet name="Sheet9" sheetId="11" r:id="rId8"/>
    <sheet name="Sheet10" sheetId="12" r:id="rId9"/>
    <sheet name="Sheet11" sheetId="13" r:id="rId10"/>
  </sheets>
  <definedNames>
    <definedName name="_xlnm._FilterDatabase" localSheetId="0" hidden="1">Employee_Data!$A$1:$L$101</definedName>
    <definedName name="Slicer_City">#N/A</definedName>
    <definedName name="Slicer_City1">#N/A</definedName>
    <definedName name="Slicer_Department">#N/A</definedName>
    <definedName name="Slicer_employee_type">#N/A</definedName>
    <definedName name="Slicer_Gender">#N/A</definedName>
  </definedNames>
  <calcPr calcId="191029"/>
  <pivotCaches>
    <pivotCache cacheId="14" r:id="rId11"/>
    <pivotCache cacheId="2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3" l="1"/>
  <c r="D11" i="3"/>
  <c r="D10" i="3"/>
  <c r="D9" i="3"/>
  <c r="D8" i="3"/>
  <c r="D6" i="3"/>
  <c r="D7" i="3"/>
  <c r="D5" i="3"/>
  <c r="D4" i="3"/>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alcChain>
</file>

<file path=xl/sharedStrings.xml><?xml version="1.0" encoding="utf-8"?>
<sst xmlns="http://schemas.openxmlformats.org/spreadsheetml/2006/main" count="727" uniqueCount="239">
  <si>
    <t>EmployeeID</t>
  </si>
  <si>
    <t>EmployeeName</t>
  </si>
  <si>
    <t>Department</t>
  </si>
  <si>
    <t>Age</t>
  </si>
  <si>
    <t>Gender</t>
  </si>
  <si>
    <t>City</t>
  </si>
  <si>
    <t>JoinDate</t>
  </si>
  <si>
    <t>AnnualSalary_INR</t>
  </si>
  <si>
    <t>AttendanceDays</t>
  </si>
  <si>
    <t>PerformanceRating</t>
  </si>
  <si>
    <t>TrainingHours</t>
  </si>
  <si>
    <t>Attrition</t>
  </si>
  <si>
    <t>EMP001</t>
  </si>
  <si>
    <t>Rahul Patel</t>
  </si>
  <si>
    <t>IT</t>
  </si>
  <si>
    <t>Female</t>
  </si>
  <si>
    <t>Hyderabad</t>
  </si>
  <si>
    <t>No</t>
  </si>
  <si>
    <t>EMP002</t>
  </si>
  <si>
    <t>Aarav Patel</t>
  </si>
  <si>
    <t>HR</t>
  </si>
  <si>
    <t>EMP003</t>
  </si>
  <si>
    <t>Aarav Singh</t>
  </si>
  <si>
    <t>Male</t>
  </si>
  <si>
    <t>Chennai</t>
  </si>
  <si>
    <t>EMP004</t>
  </si>
  <si>
    <t>Diya Pillai</t>
  </si>
  <si>
    <t>Finance</t>
  </si>
  <si>
    <t>Ahmedabad</t>
  </si>
  <si>
    <t>EMP005</t>
  </si>
  <si>
    <t>Rahul Desai</t>
  </si>
  <si>
    <t>Pune</t>
  </si>
  <si>
    <t>Yes</t>
  </si>
  <si>
    <t>EMP006</t>
  </si>
  <si>
    <t>Aanya Iyer</t>
  </si>
  <si>
    <t>Marketing</t>
  </si>
  <si>
    <t>Delhi</t>
  </si>
  <si>
    <t>EMP007</t>
  </si>
  <si>
    <t>Kavya Kulkarni</t>
  </si>
  <si>
    <t>Navi Mumbai</t>
  </si>
  <si>
    <t>EMP008</t>
  </si>
  <si>
    <t>Vivaan Singh</t>
  </si>
  <si>
    <t>EMP009</t>
  </si>
  <si>
    <t>Rahul Nair</t>
  </si>
  <si>
    <t>EMP010</t>
  </si>
  <si>
    <t>Aanya Shah</t>
  </si>
  <si>
    <t>EMP011</t>
  </si>
  <si>
    <t>Aanya Mehta</t>
  </si>
  <si>
    <t>Operations</t>
  </si>
  <si>
    <t>Mumbai</t>
  </si>
  <si>
    <t>EMP012</t>
  </si>
  <si>
    <t>Reyansh Nair</t>
  </si>
  <si>
    <t>EMP013</t>
  </si>
  <si>
    <t>Reyansh Joshi</t>
  </si>
  <si>
    <t>EMP014</t>
  </si>
  <si>
    <t>Riya Patel</t>
  </si>
  <si>
    <t>Bengaluru</t>
  </si>
  <si>
    <t>EMP015</t>
  </si>
  <si>
    <t>Neha Mehta</t>
  </si>
  <si>
    <t>EMP016</t>
  </si>
  <si>
    <t>Kabir Patel</t>
  </si>
  <si>
    <t>EMP017</t>
  </si>
  <si>
    <t>Vivaan Pillai</t>
  </si>
  <si>
    <t>EMP018</t>
  </si>
  <si>
    <t>Kabir Singh</t>
  </si>
  <si>
    <t>EMP019</t>
  </si>
  <si>
    <t>Pooja Sharma</t>
  </si>
  <si>
    <t>Customer Support</t>
  </si>
  <si>
    <t>EMP020</t>
  </si>
  <si>
    <t>Arjun Mehta</t>
  </si>
  <si>
    <t>EMP021</t>
  </si>
  <si>
    <t>Kavya Pillai</t>
  </si>
  <si>
    <t>EMP022</t>
  </si>
  <si>
    <t>Reyansh Mehta</t>
  </si>
  <si>
    <t>EMP023</t>
  </si>
  <si>
    <t>Ishaan Sharma</t>
  </si>
  <si>
    <t>EMP024</t>
  </si>
  <si>
    <t>Priya Reddy</t>
  </si>
  <si>
    <t>EMP025</t>
  </si>
  <si>
    <t>Riya Kumar</t>
  </si>
  <si>
    <t>EMP026</t>
  </si>
  <si>
    <t>Sneha Shah</t>
  </si>
  <si>
    <t>EMP027</t>
  </si>
  <si>
    <t>EMP028</t>
  </si>
  <si>
    <t>Ira Pillai</t>
  </si>
  <si>
    <t>EMP029</t>
  </si>
  <si>
    <t>Arjun Iyer</t>
  </si>
  <si>
    <t>EMP030</t>
  </si>
  <si>
    <t>Saanvi Pillai</t>
  </si>
  <si>
    <t>EMP031</t>
  </si>
  <si>
    <t>Kavya Sharma</t>
  </si>
  <si>
    <t>EMP032</t>
  </si>
  <si>
    <t>Karan Shah</t>
  </si>
  <si>
    <t>EMP033</t>
  </si>
  <si>
    <t>Kabir Pillai</t>
  </si>
  <si>
    <t>EMP034</t>
  </si>
  <si>
    <t>Sneha Patel</t>
  </si>
  <si>
    <t>EMP035</t>
  </si>
  <si>
    <t>Amit Kumar</t>
  </si>
  <si>
    <t>EMP036</t>
  </si>
  <si>
    <t>EMP037</t>
  </si>
  <si>
    <t>Priya Patel</t>
  </si>
  <si>
    <t>EMP038</t>
  </si>
  <si>
    <t>Pooja Kulkarni</t>
  </si>
  <si>
    <t>EMP039</t>
  </si>
  <si>
    <t>Karan Joshi</t>
  </si>
  <si>
    <t>EMP040</t>
  </si>
  <si>
    <t>Aanya Rao</t>
  </si>
  <si>
    <t>EMP041</t>
  </si>
  <si>
    <t>Riya Desai</t>
  </si>
  <si>
    <t>EMP042</t>
  </si>
  <si>
    <t>EMP043</t>
  </si>
  <si>
    <t>Meera Desai</t>
  </si>
  <si>
    <t>EMP044</t>
  </si>
  <si>
    <t>Aarav Gowda</t>
  </si>
  <si>
    <t>EMP045</t>
  </si>
  <si>
    <t>Vihaan Nair</t>
  </si>
  <si>
    <t>EMP046</t>
  </si>
  <si>
    <t>Pooja Pillai</t>
  </si>
  <si>
    <t>EMP047</t>
  </si>
  <si>
    <t>Sneha Iyer</t>
  </si>
  <si>
    <t>EMP048</t>
  </si>
  <si>
    <t>Arjun Kulkarni</t>
  </si>
  <si>
    <t>EMP049</t>
  </si>
  <si>
    <t>Saanvi Mehta</t>
  </si>
  <si>
    <t>EMP050</t>
  </si>
  <si>
    <t>Pooja Joshi</t>
  </si>
  <si>
    <t>EMP051</t>
  </si>
  <si>
    <t>Amit Singh</t>
  </si>
  <si>
    <t>EMP052</t>
  </si>
  <si>
    <t>EMP053</t>
  </si>
  <si>
    <t>Ananya Shah</t>
  </si>
  <si>
    <t>EMP054</t>
  </si>
  <si>
    <t>Diya Kumar</t>
  </si>
  <si>
    <t>EMP055</t>
  </si>
  <si>
    <t>Meera Rao</t>
  </si>
  <si>
    <t>EMP056</t>
  </si>
  <si>
    <t>EMP057</t>
  </si>
  <si>
    <t>Sneha Pillai</t>
  </si>
  <si>
    <t>EMP058</t>
  </si>
  <si>
    <t>Amit Shah</t>
  </si>
  <si>
    <t>EMP059</t>
  </si>
  <si>
    <t>Ira Kulkarni</t>
  </si>
  <si>
    <t>EMP060</t>
  </si>
  <si>
    <t>Riya Iyer</t>
  </si>
  <si>
    <t>EMP061</t>
  </si>
  <si>
    <t>Ananya Sharma</t>
  </si>
  <si>
    <t>EMP062</t>
  </si>
  <si>
    <t>Sneha Gowda</t>
  </si>
  <si>
    <t>EMP063</t>
  </si>
  <si>
    <t>Sneha Nair</t>
  </si>
  <si>
    <t>EMP064</t>
  </si>
  <si>
    <t>Riya Shah</t>
  </si>
  <si>
    <t>EMP065</t>
  </si>
  <si>
    <t>EMP066</t>
  </si>
  <si>
    <t>Riya Singh</t>
  </si>
  <si>
    <t>EMP067</t>
  </si>
  <si>
    <t>Kavya Reddy</t>
  </si>
  <si>
    <t>EMP068</t>
  </si>
  <si>
    <t>Meera Nair</t>
  </si>
  <si>
    <t>EMP069</t>
  </si>
  <si>
    <t>Rahul Rao</t>
  </si>
  <si>
    <t>EMP070</t>
  </si>
  <si>
    <t>Neha Kumar</t>
  </si>
  <si>
    <t>EMP071</t>
  </si>
  <si>
    <t>Neha Kulkarni</t>
  </si>
  <si>
    <t>EMP072</t>
  </si>
  <si>
    <t>Aarav Mehta</t>
  </si>
  <si>
    <t>EMP073</t>
  </si>
  <si>
    <t>Rohan Singh</t>
  </si>
  <si>
    <t>EMP074</t>
  </si>
  <si>
    <t>Reyansh Singh</t>
  </si>
  <si>
    <t>EMP075</t>
  </si>
  <si>
    <t>EMP076</t>
  </si>
  <si>
    <t>EMP077</t>
  </si>
  <si>
    <t>Saanvi Rao</t>
  </si>
  <si>
    <t>EMP078</t>
  </si>
  <si>
    <t>EMP079</t>
  </si>
  <si>
    <t>Aanya Pillai</t>
  </si>
  <si>
    <t>EMP080</t>
  </si>
  <si>
    <t>EMP081</t>
  </si>
  <si>
    <t>Neha Singh</t>
  </si>
  <si>
    <t>EMP082</t>
  </si>
  <si>
    <t>Vihaan Rao</t>
  </si>
  <si>
    <t>EMP083</t>
  </si>
  <si>
    <t>Aanya Kumar</t>
  </si>
  <si>
    <t>EMP084</t>
  </si>
  <si>
    <t>Karan Kulkarni</t>
  </si>
  <si>
    <t>EMP085</t>
  </si>
  <si>
    <t>Aanya Nair</t>
  </si>
  <si>
    <t>EMP086</t>
  </si>
  <si>
    <t>EMP087</t>
  </si>
  <si>
    <t>Ira Patel</t>
  </si>
  <si>
    <t>EMP088</t>
  </si>
  <si>
    <t>Sneha Mehta</t>
  </si>
  <si>
    <t>EMP089</t>
  </si>
  <si>
    <t>EMP090</t>
  </si>
  <si>
    <t>Vivaan Shah</t>
  </si>
  <si>
    <t>EMP091</t>
  </si>
  <si>
    <t>Reyansh Reddy</t>
  </si>
  <si>
    <t>EMP092</t>
  </si>
  <si>
    <t>Ira Iyer</t>
  </si>
  <si>
    <t>EMP093</t>
  </si>
  <si>
    <t>Karan Rao</t>
  </si>
  <si>
    <t>EMP094</t>
  </si>
  <si>
    <t>Diya Desai</t>
  </si>
  <si>
    <t>EMP095</t>
  </si>
  <si>
    <t>Karan Singh</t>
  </si>
  <si>
    <t>EMP096</t>
  </si>
  <si>
    <t>EMP097</t>
  </si>
  <si>
    <t>Kavya Gowda</t>
  </si>
  <si>
    <t>EMP098</t>
  </si>
  <si>
    <t>Aditya Reddy</t>
  </si>
  <si>
    <t>EMP099</t>
  </si>
  <si>
    <t>Amit Kulkarni</t>
  </si>
  <si>
    <t>EMP100</t>
  </si>
  <si>
    <t>Kavya Shah</t>
  </si>
  <si>
    <t>employee type</t>
  </si>
  <si>
    <t>performance category</t>
  </si>
  <si>
    <t>valvue</t>
  </si>
  <si>
    <t>KPI</t>
  </si>
  <si>
    <t>total employes</t>
  </si>
  <si>
    <t>total male employes</t>
  </si>
  <si>
    <t>total female employes</t>
  </si>
  <si>
    <t xml:space="preserve">average annual salary </t>
  </si>
  <si>
    <t>average training hours</t>
  </si>
  <si>
    <t>average employee age</t>
  </si>
  <si>
    <t>total annual salary</t>
  </si>
  <si>
    <t>total salary of female employess</t>
  </si>
  <si>
    <t>total salary of male employes gae above 50</t>
  </si>
  <si>
    <t>Grand Total</t>
  </si>
  <si>
    <t>Sum of AnnualSalary_INR</t>
  </si>
  <si>
    <t>Sum of PerformanceRating2</t>
  </si>
  <si>
    <t>junior</t>
  </si>
  <si>
    <t>senior</t>
  </si>
  <si>
    <t>departments</t>
  </si>
  <si>
    <t>gender</t>
  </si>
  <si>
    <t>cities</t>
  </si>
  <si>
    <t>dashboard of employee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</si>
</sst>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m\-yyyy"/>
    <numFmt numFmtId="166" formatCode="&quot;₹&quot;#,##0"/>
    <numFmt numFmtId="167" formatCode="&quot;₹&quot;\ #,##0.00"/>
  </numFmts>
  <fonts count="5" x14ac:knownFonts="1">
    <font>
      <sz val="11"/>
      <color theme="1"/>
      <name val="Calibri"/>
      <family val="2"/>
      <scheme val="minor"/>
    </font>
    <font>
      <b/>
      <sz val="11"/>
      <color rgb="FFFFFFFF"/>
      <name val="Calibri"/>
    </font>
    <font>
      <b/>
      <sz val="11"/>
      <color rgb="FFFFFFFF"/>
      <name val="Calibri"/>
      <family val="2"/>
    </font>
    <font>
      <b/>
      <sz val="26"/>
      <color theme="1"/>
      <name val="Calibri"/>
      <family val="2"/>
      <scheme val="minor"/>
    </font>
    <font>
      <b/>
      <sz val="48"/>
      <color theme="1"/>
      <name val="Calibri"/>
      <family val="2"/>
      <scheme val="minor"/>
    </font>
  </fonts>
  <fills count="5">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5"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5" fontId="0" fillId="0" borderId="0" xfId="0" applyNumberFormat="1"/>
    <xf numFmtId="166" fontId="0" fillId="0" borderId="0" xfId="0" applyNumberFormat="1"/>
    <xf numFmtId="0" fontId="1" fillId="2" borderId="1" xfId="0" applyFont="1" applyFill="1" applyBorder="1" applyAlignment="1">
      <alignment horizontal="center"/>
    </xf>
    <xf numFmtId="0" fontId="2" fillId="3" borderId="1" xfId="0" applyFont="1" applyFill="1" applyBorder="1" applyAlignment="1">
      <alignment horizontal="center"/>
    </xf>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4" borderId="0" xfId="0" applyFill="1"/>
    <xf numFmtId="0" fontId="3" fillId="4" borderId="0" xfId="0" applyFont="1" applyFill="1" applyAlignment="1">
      <alignment horizontal="center"/>
    </xf>
    <xf numFmtId="0" fontId="4" fillId="4" borderId="0" xfId="0" applyFont="1" applyFill="1" applyAlignment="1">
      <alignment horizontal="center"/>
    </xf>
  </cellXfs>
  <cellStyles count="1">
    <cellStyle name="Normal" xfId="0" builtinId="0"/>
  </cellStyles>
  <dxfs count="7">
    <dxf>
      <numFmt numFmtId="0" formatCode="General"/>
    </dxf>
    <dxf>
      <numFmt numFmtId="0" formatCode="General"/>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166" formatCode="&quot;₹&quot;#,##0"/>
    </dxf>
    <dxf>
      <numFmt numFmtId="165" formatCode="dd\-mmm\-yy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project.xlsx]Sheet6!PivotTable1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departmenmt wise salary</a:t>
            </a:r>
          </a:p>
        </c:rich>
      </c:tx>
      <c:layout>
        <c:manualLayout>
          <c:xMode val="edge"/>
          <c:yMode val="edge"/>
          <c:x val="0.34439111343317352"/>
          <c:y val="7.39397319589124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Customer Support</c:v>
                </c:pt>
                <c:pt idx="1">
                  <c:v>Finance</c:v>
                </c:pt>
                <c:pt idx="2">
                  <c:v>HR</c:v>
                </c:pt>
                <c:pt idx="3">
                  <c:v>IT</c:v>
                </c:pt>
                <c:pt idx="4">
                  <c:v>Marketing</c:v>
                </c:pt>
                <c:pt idx="5">
                  <c:v>Operations</c:v>
                </c:pt>
              </c:strCache>
            </c:strRef>
          </c:cat>
          <c:val>
            <c:numRef>
              <c:f>Sheet6!$B$4:$B$10</c:f>
              <c:numCache>
                <c:formatCode>"₹"#,##0</c:formatCode>
                <c:ptCount val="6"/>
                <c:pt idx="0">
                  <c:v>551000</c:v>
                </c:pt>
                <c:pt idx="1">
                  <c:v>1253000</c:v>
                </c:pt>
                <c:pt idx="2">
                  <c:v>1036000</c:v>
                </c:pt>
                <c:pt idx="3">
                  <c:v>1443000</c:v>
                </c:pt>
                <c:pt idx="4">
                  <c:v>843000</c:v>
                </c:pt>
                <c:pt idx="5">
                  <c:v>690000</c:v>
                </c:pt>
              </c:numCache>
            </c:numRef>
          </c:val>
          <c:extLst>
            <c:ext xmlns:c16="http://schemas.microsoft.com/office/drawing/2014/chart" uri="{C3380CC4-5D6E-409C-BE32-E72D297353CC}">
              <c16:uniqueId val="{00000000-3D32-48E0-BC78-1B104F15A5C8}"/>
            </c:ext>
          </c:extLst>
        </c:ser>
        <c:dLbls>
          <c:showLegendKey val="0"/>
          <c:showVal val="1"/>
          <c:showCatName val="0"/>
          <c:showSerName val="0"/>
          <c:showPercent val="0"/>
          <c:showBubbleSize val="0"/>
        </c:dLbls>
        <c:gapWidth val="150"/>
        <c:overlap val="100"/>
        <c:axId val="1536253360"/>
        <c:axId val="1536242320"/>
      </c:barChart>
      <c:catAx>
        <c:axId val="15362533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6242320"/>
        <c:crosses val="autoZero"/>
        <c:auto val="1"/>
        <c:lblAlgn val="ctr"/>
        <c:lblOffset val="100"/>
        <c:noMultiLvlLbl val="0"/>
      </c:catAx>
      <c:valAx>
        <c:axId val="1536242320"/>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62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project.xlsx]Sheet7!PivotTable2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wise salary</a:t>
            </a:r>
          </a:p>
        </c:rich>
      </c:tx>
      <c:layout>
        <c:manualLayout>
          <c:xMode val="edge"/>
          <c:yMode val="edge"/>
          <c:x val="0.32942081244186699"/>
          <c:y val="0.1011457521410059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050316384870498"/>
          <c:y val="0.21839175884957429"/>
          <c:w val="0.50935522594559401"/>
          <c:h val="0.7585202215601502"/>
        </c:manualLayout>
      </c:layout>
      <c:pie3D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Sheet7!$A$4:$A$6</c:f>
              <c:strCache>
                <c:ptCount val="2"/>
                <c:pt idx="0">
                  <c:v>Female</c:v>
                </c:pt>
                <c:pt idx="1">
                  <c:v>Male</c:v>
                </c:pt>
              </c:strCache>
            </c:strRef>
          </c:cat>
          <c:val>
            <c:numRef>
              <c:f>Sheet7!$B$4:$B$6</c:f>
              <c:numCache>
                <c:formatCode>"₹"#,##0</c:formatCode>
                <c:ptCount val="2"/>
                <c:pt idx="0">
                  <c:v>2881000</c:v>
                </c:pt>
                <c:pt idx="1">
                  <c:v>2935000</c:v>
                </c:pt>
              </c:numCache>
            </c:numRef>
          </c:val>
          <c:extLst>
            <c:ext xmlns:c16="http://schemas.microsoft.com/office/drawing/2014/chart" uri="{C3380CC4-5D6E-409C-BE32-E72D297353CC}">
              <c16:uniqueId val="{00000000-A888-42F4-9652-EEB6A71E1651}"/>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project.xlsx]Sheet8!PivotTable3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 and city wise employee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63334530779211E-2"/>
          <c:y val="0.1466827227133414"/>
          <c:w val="0.83009304478123969"/>
          <c:h val="0.62974754504090158"/>
        </c:manualLayout>
      </c:layout>
      <c:barChart>
        <c:barDir val="col"/>
        <c:grouping val="clustered"/>
        <c:varyColors val="0"/>
        <c:ser>
          <c:idx val="0"/>
          <c:order val="0"/>
          <c:tx>
            <c:strRef>
              <c:f>Sheet8!$B$3:$B$4</c:f>
              <c:strCache>
                <c:ptCount val="1"/>
                <c:pt idx="0">
                  <c:v>Ahmedabad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Sheet8!$A$5:$A$7</c:f>
              <c:strCache>
                <c:ptCount val="2"/>
                <c:pt idx="0">
                  <c:v>Female</c:v>
                </c:pt>
                <c:pt idx="1">
                  <c:v>Male</c:v>
                </c:pt>
              </c:strCache>
            </c:strRef>
          </c:cat>
          <c:val>
            <c:numRef>
              <c:f>Sheet8!$B$5:$B$7</c:f>
              <c:numCache>
                <c:formatCode>General</c:formatCode>
                <c:ptCount val="2"/>
                <c:pt idx="0">
                  <c:v>21</c:v>
                </c:pt>
                <c:pt idx="1">
                  <c:v>27</c:v>
                </c:pt>
              </c:numCache>
            </c:numRef>
          </c:val>
          <c:extLst>
            <c:ext xmlns:c16="http://schemas.microsoft.com/office/drawing/2014/chart" uri="{C3380CC4-5D6E-409C-BE32-E72D297353CC}">
              <c16:uniqueId val="{00000000-0ECF-47B4-953A-8AC96E1BF038}"/>
            </c:ext>
          </c:extLst>
        </c:ser>
        <c:ser>
          <c:idx val="1"/>
          <c:order val="1"/>
          <c:tx>
            <c:strRef>
              <c:f>Sheet8!$C$3:$C$4</c:f>
              <c:strCache>
                <c:ptCount val="1"/>
                <c:pt idx="0">
                  <c:v>Bengaluru</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Sheet8!$A$5:$A$7</c:f>
              <c:strCache>
                <c:ptCount val="2"/>
                <c:pt idx="0">
                  <c:v>Female</c:v>
                </c:pt>
                <c:pt idx="1">
                  <c:v>Male</c:v>
                </c:pt>
              </c:strCache>
            </c:strRef>
          </c:cat>
          <c:val>
            <c:numRef>
              <c:f>Sheet8!$C$5:$C$7</c:f>
              <c:numCache>
                <c:formatCode>General</c:formatCode>
                <c:ptCount val="2"/>
                <c:pt idx="0">
                  <c:v>20</c:v>
                </c:pt>
                <c:pt idx="1">
                  <c:v>13</c:v>
                </c:pt>
              </c:numCache>
            </c:numRef>
          </c:val>
          <c:extLst>
            <c:ext xmlns:c16="http://schemas.microsoft.com/office/drawing/2014/chart" uri="{C3380CC4-5D6E-409C-BE32-E72D297353CC}">
              <c16:uniqueId val="{00000018-0ECF-47B4-953A-8AC96E1BF038}"/>
            </c:ext>
          </c:extLst>
        </c:ser>
        <c:ser>
          <c:idx val="2"/>
          <c:order val="2"/>
          <c:tx>
            <c:strRef>
              <c:f>Sheet8!$D$3:$D$4</c:f>
              <c:strCache>
                <c:ptCount val="1"/>
                <c:pt idx="0">
                  <c:v>Chennai</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Sheet8!$A$5:$A$7</c:f>
              <c:strCache>
                <c:ptCount val="2"/>
                <c:pt idx="0">
                  <c:v>Female</c:v>
                </c:pt>
                <c:pt idx="1">
                  <c:v>Male</c:v>
                </c:pt>
              </c:strCache>
            </c:strRef>
          </c:cat>
          <c:val>
            <c:numRef>
              <c:f>Sheet8!$D$5:$D$7</c:f>
              <c:numCache>
                <c:formatCode>General</c:formatCode>
                <c:ptCount val="2"/>
                <c:pt idx="0">
                  <c:v>37</c:v>
                </c:pt>
                <c:pt idx="1">
                  <c:v>13</c:v>
                </c:pt>
              </c:numCache>
            </c:numRef>
          </c:val>
          <c:extLst>
            <c:ext xmlns:c16="http://schemas.microsoft.com/office/drawing/2014/chart" uri="{C3380CC4-5D6E-409C-BE32-E72D297353CC}">
              <c16:uniqueId val="{00000019-0ECF-47B4-953A-8AC96E1BF038}"/>
            </c:ext>
          </c:extLst>
        </c:ser>
        <c:ser>
          <c:idx val="3"/>
          <c:order val="3"/>
          <c:tx>
            <c:strRef>
              <c:f>Sheet8!$E$3:$E$4</c:f>
              <c:strCache>
                <c:ptCount val="1"/>
                <c:pt idx="0">
                  <c:v>Delhi</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Sheet8!$A$5:$A$7</c:f>
              <c:strCache>
                <c:ptCount val="2"/>
                <c:pt idx="0">
                  <c:v>Female</c:v>
                </c:pt>
                <c:pt idx="1">
                  <c:v>Male</c:v>
                </c:pt>
              </c:strCache>
            </c:strRef>
          </c:cat>
          <c:val>
            <c:numRef>
              <c:f>Sheet8!$E$5:$E$7</c:f>
              <c:numCache>
                <c:formatCode>General</c:formatCode>
                <c:ptCount val="2"/>
                <c:pt idx="0">
                  <c:v>9</c:v>
                </c:pt>
                <c:pt idx="1">
                  <c:v>10</c:v>
                </c:pt>
              </c:numCache>
            </c:numRef>
          </c:val>
          <c:extLst>
            <c:ext xmlns:c16="http://schemas.microsoft.com/office/drawing/2014/chart" uri="{C3380CC4-5D6E-409C-BE32-E72D297353CC}">
              <c16:uniqueId val="{0000001A-0ECF-47B4-953A-8AC96E1BF038}"/>
            </c:ext>
          </c:extLst>
        </c:ser>
        <c:ser>
          <c:idx val="4"/>
          <c:order val="4"/>
          <c:tx>
            <c:strRef>
              <c:f>Sheet8!$F$3:$F$4</c:f>
              <c:strCache>
                <c:ptCount val="1"/>
                <c:pt idx="0">
                  <c:v>Hyderabad</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Sheet8!$A$5:$A$7</c:f>
              <c:strCache>
                <c:ptCount val="2"/>
                <c:pt idx="0">
                  <c:v>Female</c:v>
                </c:pt>
                <c:pt idx="1">
                  <c:v>Male</c:v>
                </c:pt>
              </c:strCache>
            </c:strRef>
          </c:cat>
          <c:val>
            <c:numRef>
              <c:f>Sheet8!$F$5:$F$7</c:f>
              <c:numCache>
                <c:formatCode>General</c:formatCode>
                <c:ptCount val="2"/>
                <c:pt idx="0">
                  <c:v>24</c:v>
                </c:pt>
                <c:pt idx="1">
                  <c:v>14</c:v>
                </c:pt>
              </c:numCache>
            </c:numRef>
          </c:val>
          <c:extLst>
            <c:ext xmlns:c16="http://schemas.microsoft.com/office/drawing/2014/chart" uri="{C3380CC4-5D6E-409C-BE32-E72D297353CC}">
              <c16:uniqueId val="{0000001B-0ECF-47B4-953A-8AC96E1BF038}"/>
            </c:ext>
          </c:extLst>
        </c:ser>
        <c:ser>
          <c:idx val="5"/>
          <c:order val="5"/>
          <c:tx>
            <c:strRef>
              <c:f>Sheet8!$G$3:$G$4</c:f>
              <c:strCache>
                <c:ptCount val="1"/>
                <c:pt idx="0">
                  <c:v>Mumbai</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Sheet8!$A$5:$A$7</c:f>
              <c:strCache>
                <c:ptCount val="2"/>
                <c:pt idx="0">
                  <c:v>Female</c:v>
                </c:pt>
                <c:pt idx="1">
                  <c:v>Male</c:v>
                </c:pt>
              </c:strCache>
            </c:strRef>
          </c:cat>
          <c:val>
            <c:numRef>
              <c:f>Sheet8!$G$5:$G$7</c:f>
              <c:numCache>
                <c:formatCode>General</c:formatCode>
                <c:ptCount val="2"/>
                <c:pt idx="0">
                  <c:v>11</c:v>
                </c:pt>
                <c:pt idx="1">
                  <c:v>25</c:v>
                </c:pt>
              </c:numCache>
            </c:numRef>
          </c:val>
          <c:extLst>
            <c:ext xmlns:c16="http://schemas.microsoft.com/office/drawing/2014/chart" uri="{C3380CC4-5D6E-409C-BE32-E72D297353CC}">
              <c16:uniqueId val="{0000001C-0ECF-47B4-953A-8AC96E1BF038}"/>
            </c:ext>
          </c:extLst>
        </c:ser>
        <c:ser>
          <c:idx val="6"/>
          <c:order val="6"/>
          <c:tx>
            <c:strRef>
              <c:f>Sheet8!$H$3:$H$4</c:f>
              <c:strCache>
                <c:ptCount val="1"/>
                <c:pt idx="0">
                  <c:v>Navi Mumbai</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Sheet8!$A$5:$A$7</c:f>
              <c:strCache>
                <c:ptCount val="2"/>
                <c:pt idx="0">
                  <c:v>Female</c:v>
                </c:pt>
                <c:pt idx="1">
                  <c:v>Male</c:v>
                </c:pt>
              </c:strCache>
            </c:strRef>
          </c:cat>
          <c:val>
            <c:numRef>
              <c:f>Sheet8!$H$5:$H$7</c:f>
              <c:numCache>
                <c:formatCode>General</c:formatCode>
                <c:ptCount val="2"/>
                <c:pt idx="0">
                  <c:v>11</c:v>
                </c:pt>
                <c:pt idx="1">
                  <c:v>23</c:v>
                </c:pt>
              </c:numCache>
            </c:numRef>
          </c:val>
          <c:extLst>
            <c:ext xmlns:c16="http://schemas.microsoft.com/office/drawing/2014/chart" uri="{C3380CC4-5D6E-409C-BE32-E72D297353CC}">
              <c16:uniqueId val="{0000001D-0ECF-47B4-953A-8AC96E1BF038}"/>
            </c:ext>
          </c:extLst>
        </c:ser>
        <c:ser>
          <c:idx val="7"/>
          <c:order val="7"/>
          <c:tx>
            <c:strRef>
              <c:f>Sheet8!$I$3:$I$4</c:f>
              <c:strCache>
                <c:ptCount val="1"/>
                <c:pt idx="0">
                  <c:v>Pune</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Sheet8!$A$5:$A$7</c:f>
              <c:strCache>
                <c:ptCount val="2"/>
                <c:pt idx="0">
                  <c:v>Female</c:v>
                </c:pt>
                <c:pt idx="1">
                  <c:v>Male</c:v>
                </c:pt>
              </c:strCache>
            </c:strRef>
          </c:cat>
          <c:val>
            <c:numRef>
              <c:f>Sheet8!$I$5:$I$7</c:f>
              <c:numCache>
                <c:formatCode>General</c:formatCode>
                <c:ptCount val="2"/>
                <c:pt idx="0">
                  <c:v>12</c:v>
                </c:pt>
                <c:pt idx="1">
                  <c:v>18</c:v>
                </c:pt>
              </c:numCache>
            </c:numRef>
          </c:val>
          <c:extLst>
            <c:ext xmlns:c16="http://schemas.microsoft.com/office/drawing/2014/chart" uri="{C3380CC4-5D6E-409C-BE32-E72D297353CC}">
              <c16:uniqueId val="{0000001E-0ECF-47B4-953A-8AC96E1BF038}"/>
            </c:ext>
          </c:extLst>
        </c:ser>
        <c:dLbls>
          <c:showLegendKey val="0"/>
          <c:showVal val="0"/>
          <c:showCatName val="0"/>
          <c:showSerName val="0"/>
          <c:showPercent val="0"/>
          <c:showBubbleSize val="0"/>
        </c:dLbls>
        <c:gapWidth val="100"/>
        <c:overlap val="-24"/>
        <c:axId val="165268048"/>
        <c:axId val="165268528"/>
      </c:barChart>
      <c:catAx>
        <c:axId val="1652680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68528"/>
        <c:crosses val="autoZero"/>
        <c:auto val="1"/>
        <c:lblAlgn val="ctr"/>
        <c:lblOffset val="100"/>
        <c:noMultiLvlLbl val="0"/>
      </c:catAx>
      <c:valAx>
        <c:axId val="16526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performance rating</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68048"/>
        <c:crosses val="autoZero"/>
        <c:crossBetween val="between"/>
      </c:valAx>
      <c:spPr>
        <a:noFill/>
        <a:ln>
          <a:noFill/>
        </a:ln>
        <a:effectLst/>
      </c:spPr>
    </c:plotArea>
    <c:legend>
      <c:legendPos val="r"/>
      <c:layout>
        <c:manualLayout>
          <c:xMode val="edge"/>
          <c:yMode val="edge"/>
          <c:x val="0.88892714647723114"/>
          <c:y val="0.2496663067383392"/>
          <c:w val="0.10186686963324061"/>
          <c:h val="0.56646409281565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project.xlsx]Sheet9!PivotTable5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city</a:t>
            </a:r>
            <a:r>
              <a:rPr lang="en-US" baseline="0">
                <a:solidFill>
                  <a:schemeClr val="tx1"/>
                </a:solidFill>
              </a:rPr>
              <a:t> wise salary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Sheet9!$A$4:$A$12</c:f>
              <c:strCache>
                <c:ptCount val="8"/>
                <c:pt idx="0">
                  <c:v>Ahmedabad</c:v>
                </c:pt>
                <c:pt idx="1">
                  <c:v>Bengaluru</c:v>
                </c:pt>
                <c:pt idx="2">
                  <c:v>Chennai</c:v>
                </c:pt>
                <c:pt idx="3">
                  <c:v>Delhi</c:v>
                </c:pt>
                <c:pt idx="4">
                  <c:v>Hyderabad</c:v>
                </c:pt>
                <c:pt idx="5">
                  <c:v>Mumbai</c:v>
                </c:pt>
                <c:pt idx="6">
                  <c:v>Navi Mumbai</c:v>
                </c:pt>
                <c:pt idx="7">
                  <c:v>Pune</c:v>
                </c:pt>
              </c:strCache>
            </c:strRef>
          </c:cat>
          <c:val>
            <c:numRef>
              <c:f>Sheet9!$B$4:$B$12</c:f>
              <c:numCache>
                <c:formatCode>"₹"#,##0</c:formatCode>
                <c:ptCount val="8"/>
                <c:pt idx="0">
                  <c:v>820000</c:v>
                </c:pt>
                <c:pt idx="1">
                  <c:v>771000</c:v>
                </c:pt>
                <c:pt idx="2">
                  <c:v>957000</c:v>
                </c:pt>
                <c:pt idx="3">
                  <c:v>404000</c:v>
                </c:pt>
                <c:pt idx="4">
                  <c:v>967000</c:v>
                </c:pt>
                <c:pt idx="5">
                  <c:v>669000</c:v>
                </c:pt>
                <c:pt idx="6">
                  <c:v>689000</c:v>
                </c:pt>
                <c:pt idx="7">
                  <c:v>539000</c:v>
                </c:pt>
              </c:numCache>
            </c:numRef>
          </c:val>
          <c:extLst>
            <c:ext xmlns:c16="http://schemas.microsoft.com/office/drawing/2014/chart" uri="{C3380CC4-5D6E-409C-BE32-E72D297353CC}">
              <c16:uniqueId val="{00000000-8EF1-4A73-8F14-487D4C36F71B}"/>
            </c:ext>
          </c:extLst>
        </c:ser>
        <c:dLbls>
          <c:dLblPos val="outEnd"/>
          <c:showLegendKey val="0"/>
          <c:showVal val="1"/>
          <c:showCatName val="0"/>
          <c:showSerName val="0"/>
          <c:showPercent val="0"/>
          <c:showBubbleSize val="0"/>
        </c:dLbls>
        <c:gapWidth val="219"/>
        <c:overlap val="-27"/>
        <c:axId val="175856976"/>
        <c:axId val="175852176"/>
      </c:barChart>
      <c:catAx>
        <c:axId val="175856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cities</a:t>
                </a:r>
              </a:p>
            </c:rich>
          </c:tx>
          <c:layout>
            <c:manualLayout>
              <c:xMode val="edge"/>
              <c:yMode val="edge"/>
              <c:x val="0.44762927450235607"/>
              <c:y val="0.903187119199268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52176"/>
        <c:crosses val="autoZero"/>
        <c:auto val="1"/>
        <c:lblAlgn val="ctr"/>
        <c:lblOffset val="100"/>
        <c:noMultiLvlLbl val="0"/>
      </c:catAx>
      <c:valAx>
        <c:axId val="17585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salary</a:t>
                </a:r>
              </a:p>
            </c:rich>
          </c:tx>
          <c:layout>
            <c:manualLayout>
              <c:xMode val="edge"/>
              <c:yMode val="edge"/>
              <c:x val="1.912212081703607E-2"/>
              <c:y val="0.458103220295517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5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project.xlsx]Sheet11!PivotTable6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type wise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Sheet11!$A$4:$A$6</c:f>
              <c:strCache>
                <c:ptCount val="2"/>
                <c:pt idx="0">
                  <c:v>junior</c:v>
                </c:pt>
                <c:pt idx="1">
                  <c:v>senior</c:v>
                </c:pt>
              </c:strCache>
            </c:strRef>
          </c:cat>
          <c:val>
            <c:numRef>
              <c:f>Sheet11!$B$4:$B$6</c:f>
              <c:numCache>
                <c:formatCode>"₹"#,##0</c:formatCode>
                <c:ptCount val="2"/>
                <c:pt idx="0">
                  <c:v>4361000</c:v>
                </c:pt>
                <c:pt idx="1">
                  <c:v>1455000</c:v>
                </c:pt>
              </c:numCache>
            </c:numRef>
          </c:val>
          <c:extLst>
            <c:ext xmlns:c16="http://schemas.microsoft.com/office/drawing/2014/chart" uri="{C3380CC4-5D6E-409C-BE32-E72D297353CC}">
              <c16:uniqueId val="{00000000-37E2-4622-86BD-919E2ACB416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1556373</xdr:colOff>
      <xdr:row>3</xdr:row>
      <xdr:rowOff>135290</xdr:rowOff>
    </xdr:from>
    <xdr:to>
      <xdr:col>22</xdr:col>
      <xdr:colOff>270735</xdr:colOff>
      <xdr:row>33</xdr:row>
      <xdr:rowOff>166013</xdr:rowOff>
    </xdr:to>
    <xdr:graphicFrame macro="">
      <xdr:nvGraphicFramePr>
        <xdr:cNvPr id="2" name="Chart 1">
          <a:extLst>
            <a:ext uri="{FF2B5EF4-FFF2-40B4-BE49-F238E27FC236}">
              <a16:creationId xmlns:a16="http://schemas.microsoft.com/office/drawing/2014/main" id="{89CC1B5D-F463-BC1C-53A7-E743665E3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222818</xdr:colOff>
      <xdr:row>11</xdr:row>
      <xdr:rowOff>54485</xdr:rowOff>
    </xdr:from>
    <xdr:to>
      <xdr:col>26</xdr:col>
      <xdr:colOff>500751</xdr:colOff>
      <xdr:row>24</xdr:row>
      <xdr:rowOff>119078</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A4A01DEC-57DD-0584-5C4E-251485A621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991985" y="2188791"/>
              <a:ext cx="1812516" cy="2586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323465</xdr:colOff>
      <xdr:row>7</xdr:row>
      <xdr:rowOff>125926</xdr:rowOff>
    </xdr:from>
    <xdr:to>
      <xdr:col>40</xdr:col>
      <xdr:colOff>398721</xdr:colOff>
      <xdr:row>32</xdr:row>
      <xdr:rowOff>95419</xdr:rowOff>
    </xdr:to>
    <xdr:graphicFrame macro="">
      <xdr:nvGraphicFramePr>
        <xdr:cNvPr id="4" name="Chart 3">
          <a:extLst>
            <a:ext uri="{FF2B5EF4-FFF2-40B4-BE49-F238E27FC236}">
              <a16:creationId xmlns:a16="http://schemas.microsoft.com/office/drawing/2014/main" id="{B38E60A0-4B2B-06E4-9093-49A16C76E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41</xdr:col>
      <xdr:colOff>201571</xdr:colOff>
      <xdr:row>14</xdr:row>
      <xdr:rowOff>89910</xdr:rowOff>
    </xdr:from>
    <xdr:to>
      <xdr:col>44</xdr:col>
      <xdr:colOff>495912</xdr:colOff>
      <xdr:row>20</xdr:row>
      <xdr:rowOff>28968</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171A413F-7024-C9E1-1889-DCAA7570CE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5178238" y="2806299"/>
              <a:ext cx="1828924" cy="1103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770106</xdr:colOff>
      <xdr:row>36</xdr:row>
      <xdr:rowOff>24083</xdr:rowOff>
    </xdr:from>
    <xdr:to>
      <xdr:col>17</xdr:col>
      <xdr:colOff>430315</xdr:colOff>
      <xdr:row>70</xdr:row>
      <xdr:rowOff>162128</xdr:rowOff>
    </xdr:to>
    <xdr:graphicFrame macro="">
      <xdr:nvGraphicFramePr>
        <xdr:cNvPr id="6" name="Chart 5">
          <a:extLst>
            <a:ext uri="{FF2B5EF4-FFF2-40B4-BE49-F238E27FC236}">
              <a16:creationId xmlns:a16="http://schemas.microsoft.com/office/drawing/2014/main" id="{A5CFB2C3-3827-0CD7-A490-80EE2956B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171694</xdr:colOff>
      <xdr:row>39</xdr:row>
      <xdr:rowOff>27354</xdr:rowOff>
    </xdr:from>
    <xdr:to>
      <xdr:col>21</xdr:col>
      <xdr:colOff>455979</xdr:colOff>
      <xdr:row>52</xdr:row>
      <xdr:rowOff>74979</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5C3FD22E-617C-EA4D-8843-EBBBA805CEF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383222" y="7594437"/>
              <a:ext cx="1818868" cy="2569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221745</xdr:colOff>
      <xdr:row>35</xdr:row>
      <xdr:rowOff>158750</xdr:rowOff>
    </xdr:from>
    <xdr:to>
      <xdr:col>41</xdr:col>
      <xdr:colOff>176012</xdr:colOff>
      <xdr:row>69</xdr:row>
      <xdr:rowOff>22678</xdr:rowOff>
    </xdr:to>
    <xdr:graphicFrame macro="">
      <xdr:nvGraphicFramePr>
        <xdr:cNvPr id="9" name="Chart 8">
          <a:extLst>
            <a:ext uri="{FF2B5EF4-FFF2-40B4-BE49-F238E27FC236}">
              <a16:creationId xmlns:a16="http://schemas.microsoft.com/office/drawing/2014/main" id="{F4D7A32C-97D9-18B1-BB16-D9D0A91F4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42</xdr:col>
      <xdr:colOff>222249</xdr:colOff>
      <xdr:row>39</xdr:row>
      <xdr:rowOff>1815</xdr:rowOff>
    </xdr:from>
    <xdr:to>
      <xdr:col>45</xdr:col>
      <xdr:colOff>496660</xdr:colOff>
      <xdr:row>54</xdr:row>
      <xdr:rowOff>106590</xdr:rowOff>
    </xdr:to>
    <mc:AlternateContent xmlns:mc="http://schemas.openxmlformats.org/markup-compatibility/2006">
      <mc:Choice xmlns:a14="http://schemas.microsoft.com/office/drawing/2010/main" Requires="a14">
        <xdr:graphicFrame macro="">
          <xdr:nvGraphicFramePr>
            <xdr:cNvPr id="10" name="City 1">
              <a:extLst>
                <a:ext uri="{FF2B5EF4-FFF2-40B4-BE49-F238E27FC236}">
                  <a16:creationId xmlns:a16="http://schemas.microsoft.com/office/drawing/2014/main" id="{8F7F93E6-E837-BD0D-03A2-F8D630C1C2B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5710443" y="7568898"/>
              <a:ext cx="1808995" cy="3015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488949</xdr:colOff>
      <xdr:row>75</xdr:row>
      <xdr:rowOff>77332</xdr:rowOff>
    </xdr:from>
    <xdr:to>
      <xdr:col>27</xdr:col>
      <xdr:colOff>244929</xdr:colOff>
      <xdr:row>97</xdr:row>
      <xdr:rowOff>27213</xdr:rowOff>
    </xdr:to>
    <xdr:graphicFrame macro="">
      <xdr:nvGraphicFramePr>
        <xdr:cNvPr id="11" name="Chart 10">
          <a:extLst>
            <a:ext uri="{FF2B5EF4-FFF2-40B4-BE49-F238E27FC236}">
              <a16:creationId xmlns:a16="http://schemas.microsoft.com/office/drawing/2014/main" id="{F5DC6BFD-D7D4-2A34-0001-3719ACB5E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138793</xdr:colOff>
      <xdr:row>81</xdr:row>
      <xdr:rowOff>183698</xdr:rowOff>
    </xdr:from>
    <xdr:to>
      <xdr:col>31</xdr:col>
      <xdr:colOff>427264</xdr:colOff>
      <xdr:row>87</xdr:row>
      <xdr:rowOff>126548</xdr:rowOff>
    </xdr:to>
    <mc:AlternateContent xmlns:mc="http://schemas.openxmlformats.org/markup-compatibility/2006">
      <mc:Choice xmlns:a14="http://schemas.microsoft.com/office/drawing/2010/main" Requires="a14">
        <xdr:graphicFrame macro="">
          <xdr:nvGraphicFramePr>
            <xdr:cNvPr id="12" name="employee type">
              <a:extLst>
                <a:ext uri="{FF2B5EF4-FFF2-40B4-BE49-F238E27FC236}">
                  <a16:creationId xmlns:a16="http://schemas.microsoft.com/office/drawing/2014/main" id="{822804D0-36D7-5919-5C67-3B98D143B62E}"/>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dr:sp macro="" textlink="">
          <xdr:nvSpPr>
            <xdr:cNvPr id="0" name=""/>
            <xdr:cNvSpPr>
              <a:spLocks noTextEdit="1"/>
            </xdr:cNvSpPr>
          </xdr:nvSpPr>
          <xdr:spPr>
            <a:xfrm>
              <a:off x="18465599" y="15899948"/>
              <a:ext cx="1823054" cy="110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ishree Midina" refreshedDate="46317.445018981482" createdVersion="8" refreshedVersion="8" minRefreshableVersion="3" recordCount="100" xr:uid="{F9A244DE-F3AB-47F9-A88D-045D346007CC}">
  <cacheSource type="worksheet">
    <worksheetSource name="Table1"/>
  </cacheSource>
  <cacheFields count="14">
    <cacheField name="EmployeeID" numFmtId="0">
      <sharedItems/>
    </cacheField>
    <cacheField name="EmployeeName" numFmtId="0">
      <sharedItems/>
    </cacheField>
    <cacheField name="Department" numFmtId="0">
      <sharedItems count="6">
        <s v="IT"/>
        <s v="HR"/>
        <s v="Finance"/>
        <s v="Marketing"/>
        <s v="Operations"/>
        <s v="Customer Support"/>
      </sharedItems>
    </cacheField>
    <cacheField name="Age" numFmtId="0">
      <sharedItems containsSemiMixedTypes="0" containsString="0" containsNumber="1" containsInteger="1" minValue="22" maxValue="58" count="35">
        <n v="39"/>
        <n v="36"/>
        <n v="49"/>
        <n v="38"/>
        <n v="58"/>
        <n v="45"/>
        <n v="32"/>
        <n v="47"/>
        <n v="30"/>
        <n v="51"/>
        <n v="22"/>
        <n v="53"/>
        <n v="56"/>
        <n v="23"/>
        <n v="26"/>
        <n v="48"/>
        <n v="28"/>
        <n v="27"/>
        <n v="46"/>
        <n v="54"/>
        <n v="24"/>
        <n v="41"/>
        <n v="35"/>
        <n v="44"/>
        <n v="33"/>
        <n v="43"/>
        <n v="34"/>
        <n v="42"/>
        <n v="50"/>
        <n v="37"/>
        <n v="57"/>
        <n v="40"/>
        <n v="31"/>
        <n v="52"/>
        <n v="55"/>
      </sharedItems>
    </cacheField>
    <cacheField name="Gender" numFmtId="0">
      <sharedItems count="2">
        <s v="Female"/>
        <s v="Male"/>
      </sharedItems>
    </cacheField>
    <cacheField name="City" numFmtId="0">
      <sharedItems count="8">
        <s v="Hyderabad"/>
        <s v="Chennai"/>
        <s v="Ahmedabad"/>
        <s v="Pune"/>
        <s v="Delhi"/>
        <s v="Navi Mumbai"/>
        <s v="Mumbai"/>
        <s v="Bengaluru"/>
      </sharedItems>
    </cacheField>
    <cacheField name="JoinDate" numFmtId="165">
      <sharedItems containsSemiMixedTypes="0" containsNonDate="0" containsDate="1" containsString="0" minDate="2019-01-25T00:00:00" maxDate="2025-12-24T00:00:00"/>
    </cacheField>
    <cacheField name="AnnualSalary_INR" numFmtId="166">
      <sharedItems containsSemiMixedTypes="0" containsString="0" containsNumber="1" containsInteger="1" minValue="23000" maxValue="90000" count="52">
        <n v="59000"/>
        <n v="56000"/>
        <n v="43000"/>
        <n v="50000"/>
        <n v="57000"/>
        <n v="49000"/>
        <n v="65000"/>
        <n v="79000"/>
        <n v="64000"/>
        <n v="37000"/>
        <n v="67000"/>
        <n v="85000"/>
        <n v="40000"/>
        <n v="83000"/>
        <n v="53000"/>
        <n v="47000"/>
        <n v="63000"/>
        <n v="29000"/>
        <n v="58000"/>
        <n v="84000"/>
        <n v="80000"/>
        <n v="36000"/>
        <n v="69000"/>
        <n v="75000"/>
        <n v="41000"/>
        <n v="90000"/>
        <n v="51000"/>
        <n v="70000"/>
        <n v="44000"/>
        <n v="78000"/>
        <n v="23000"/>
        <n v="82000"/>
        <n v="62000"/>
        <n v="35000"/>
        <n v="55000"/>
        <n v="60000"/>
        <n v="26000"/>
        <n v="66000"/>
        <n v="76000"/>
        <n v="30000"/>
        <n v="34000"/>
        <n v="74000"/>
        <n v="68000"/>
        <n v="54000"/>
        <n v="72000"/>
        <n v="86000"/>
        <n v="45000"/>
        <n v="81000"/>
        <n v="73000"/>
        <n v="42000"/>
        <n v="33000"/>
        <n v="46000"/>
      </sharedItems>
    </cacheField>
    <cacheField name="AttendanceDays" numFmtId="0">
      <sharedItems containsSemiMixedTypes="0" containsString="0" containsNumber="1" containsInteger="1" minValue="210" maxValue="250"/>
    </cacheField>
    <cacheField name="PerformanceRating" numFmtId="0">
      <sharedItems containsSemiMixedTypes="0" containsString="0" containsNumber="1" containsInteger="1" minValue="1" maxValue="5"/>
    </cacheField>
    <cacheField name="TrainingHours" numFmtId="0">
      <sharedItems containsSemiMixedTypes="0" containsString="0" containsNumber="1" containsInteger="1" minValue="0" maxValue="40"/>
    </cacheField>
    <cacheField name="Attrition" numFmtId="0">
      <sharedItems/>
    </cacheField>
    <cacheField name="employee type" numFmtId="0">
      <sharedItems count="2">
        <s v="junior"/>
        <s v="senior"/>
      </sharedItems>
    </cacheField>
    <cacheField name="performance category" numFmtId="0">
      <sharedItems count="4">
        <s v="Poor"/>
        <s v="Good"/>
        <s v="Average"/>
        <s v="Excellent"/>
      </sharedItems>
    </cacheField>
  </cacheFields>
  <extLst>
    <ext xmlns:x14="http://schemas.microsoft.com/office/spreadsheetml/2009/9/main" uri="{725AE2AE-9491-48be-B2B4-4EB974FC3084}">
      <x14:pivotCacheDefinition pivotCacheId="1557817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ishree Midina" refreshedDate="46317.456797800929" createdVersion="8" refreshedVersion="8" minRefreshableVersion="3" recordCount="100" xr:uid="{39BA1761-E393-42D2-AD7A-8EFF0ACDAF33}">
  <cacheSource type="worksheet">
    <worksheetSource name="Table1[[Department]:[performance category]]"/>
  </cacheSource>
  <cacheFields count="12">
    <cacheField name="Department" numFmtId="0">
      <sharedItems/>
    </cacheField>
    <cacheField name="Age" numFmtId="0">
      <sharedItems containsSemiMixedTypes="0" containsString="0" containsNumber="1" containsInteger="1" minValue="22" maxValue="58"/>
    </cacheField>
    <cacheField name="Gender" numFmtId="0">
      <sharedItems/>
    </cacheField>
    <cacheField name="City" numFmtId="0">
      <sharedItems count="8">
        <s v="Hyderabad"/>
        <s v="Chennai"/>
        <s v="Ahmedabad"/>
        <s v="Pune"/>
        <s v="Delhi"/>
        <s v="Navi Mumbai"/>
        <s v="Mumbai"/>
        <s v="Bengaluru"/>
      </sharedItems>
    </cacheField>
    <cacheField name="JoinDate" numFmtId="165">
      <sharedItems containsSemiMixedTypes="0" containsNonDate="0" containsDate="1" containsString="0" minDate="2019-01-25T00:00:00" maxDate="2025-12-24T00:00:00"/>
    </cacheField>
    <cacheField name="AnnualSalary_INR" numFmtId="166">
      <sharedItems containsSemiMixedTypes="0" containsString="0" containsNumber="1" containsInteger="1" minValue="23000" maxValue="90000"/>
    </cacheField>
    <cacheField name="AttendanceDays" numFmtId="0">
      <sharedItems containsSemiMixedTypes="0" containsString="0" containsNumber="1" containsInteger="1" minValue="210" maxValue="250"/>
    </cacheField>
    <cacheField name="PerformanceRating" numFmtId="0">
      <sharedItems containsSemiMixedTypes="0" containsString="0" containsNumber="1" containsInteger="1" minValue="1" maxValue="5"/>
    </cacheField>
    <cacheField name="TrainingHours" numFmtId="0">
      <sharedItems containsSemiMixedTypes="0" containsString="0" containsNumber="1" containsInteger="1" minValue="0" maxValue="40"/>
    </cacheField>
    <cacheField name="Attrition" numFmtId="0">
      <sharedItems/>
    </cacheField>
    <cacheField name="employee type" numFmtId="0">
      <sharedItems count="2">
        <s v="junior"/>
        <s v="senior"/>
      </sharedItems>
    </cacheField>
    <cacheField name="performance category" numFmtId="0">
      <sharedItems/>
    </cacheField>
  </cacheFields>
  <extLst>
    <ext xmlns:x14="http://schemas.microsoft.com/office/spreadsheetml/2009/9/main" uri="{725AE2AE-9491-48be-B2B4-4EB974FC3084}">
      <x14:pivotCacheDefinition pivotCacheId="1051067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MP001"/>
    <s v="Rahul Patel"/>
    <x v="0"/>
    <x v="0"/>
    <x v="0"/>
    <x v="0"/>
    <d v="2020-07-25T00:00:00"/>
    <x v="0"/>
    <n v="244"/>
    <n v="1"/>
    <n v="37"/>
    <s v="No"/>
    <x v="0"/>
    <x v="0"/>
  </r>
  <r>
    <s v="EMP002"/>
    <s v="Aarav Patel"/>
    <x v="1"/>
    <x v="1"/>
    <x v="0"/>
    <x v="0"/>
    <d v="2025-02-10T00:00:00"/>
    <x v="1"/>
    <n v="224"/>
    <n v="4"/>
    <n v="37"/>
    <s v="No"/>
    <x v="0"/>
    <x v="1"/>
  </r>
  <r>
    <s v="EMP003"/>
    <s v="Aarav Singh"/>
    <x v="1"/>
    <x v="2"/>
    <x v="1"/>
    <x v="1"/>
    <d v="2020-09-28T00:00:00"/>
    <x v="2"/>
    <n v="231"/>
    <n v="1"/>
    <n v="5"/>
    <s v="No"/>
    <x v="0"/>
    <x v="0"/>
  </r>
  <r>
    <s v="EMP004"/>
    <s v="Diya Pillai"/>
    <x v="2"/>
    <x v="3"/>
    <x v="0"/>
    <x v="2"/>
    <d v="2025-01-05T00:00:00"/>
    <x v="3"/>
    <n v="234"/>
    <n v="1"/>
    <n v="35"/>
    <s v="No"/>
    <x v="0"/>
    <x v="0"/>
  </r>
  <r>
    <s v="EMP005"/>
    <s v="Rahul Desai"/>
    <x v="2"/>
    <x v="4"/>
    <x v="0"/>
    <x v="3"/>
    <d v="2019-07-07T00:00:00"/>
    <x v="4"/>
    <n v="228"/>
    <n v="1"/>
    <n v="14"/>
    <s v="Yes"/>
    <x v="1"/>
    <x v="0"/>
  </r>
  <r>
    <s v="EMP006"/>
    <s v="Aanya Iyer"/>
    <x v="3"/>
    <x v="5"/>
    <x v="0"/>
    <x v="4"/>
    <d v="2022-12-26T00:00:00"/>
    <x v="5"/>
    <n v="227"/>
    <n v="1"/>
    <n v="38"/>
    <s v="No"/>
    <x v="0"/>
    <x v="0"/>
  </r>
  <r>
    <s v="EMP007"/>
    <s v="Kavya Kulkarni"/>
    <x v="1"/>
    <x v="6"/>
    <x v="1"/>
    <x v="5"/>
    <d v="2022-01-10T00:00:00"/>
    <x v="6"/>
    <n v="224"/>
    <n v="3"/>
    <n v="3"/>
    <s v="No"/>
    <x v="0"/>
    <x v="2"/>
  </r>
  <r>
    <s v="EMP008"/>
    <s v="Vivaan Singh"/>
    <x v="2"/>
    <x v="7"/>
    <x v="1"/>
    <x v="3"/>
    <d v="2021-05-14T00:00:00"/>
    <x v="7"/>
    <n v="230"/>
    <n v="2"/>
    <n v="31"/>
    <s v="No"/>
    <x v="0"/>
    <x v="0"/>
  </r>
  <r>
    <s v="EMP009"/>
    <s v="Rahul Nair"/>
    <x v="1"/>
    <x v="3"/>
    <x v="0"/>
    <x v="0"/>
    <d v="2025-04-18T00:00:00"/>
    <x v="8"/>
    <n v="226"/>
    <n v="5"/>
    <n v="27"/>
    <s v="Yes"/>
    <x v="0"/>
    <x v="3"/>
  </r>
  <r>
    <s v="EMP010"/>
    <s v="Aanya Shah"/>
    <x v="1"/>
    <x v="8"/>
    <x v="1"/>
    <x v="3"/>
    <d v="2019-07-12T00:00:00"/>
    <x v="9"/>
    <n v="219"/>
    <n v="2"/>
    <n v="27"/>
    <s v="No"/>
    <x v="0"/>
    <x v="0"/>
  </r>
  <r>
    <s v="EMP011"/>
    <s v="Aanya Mehta"/>
    <x v="4"/>
    <x v="9"/>
    <x v="1"/>
    <x v="6"/>
    <d v="2020-04-14T00:00:00"/>
    <x v="10"/>
    <n v="227"/>
    <n v="3"/>
    <n v="7"/>
    <s v="No"/>
    <x v="1"/>
    <x v="2"/>
  </r>
  <r>
    <s v="EMP012"/>
    <s v="Reyansh Nair"/>
    <x v="0"/>
    <x v="3"/>
    <x v="0"/>
    <x v="3"/>
    <d v="2022-05-07T00:00:00"/>
    <x v="11"/>
    <n v="248"/>
    <n v="2"/>
    <n v="9"/>
    <s v="No"/>
    <x v="0"/>
    <x v="0"/>
  </r>
  <r>
    <s v="EMP013"/>
    <s v="Reyansh Joshi"/>
    <x v="4"/>
    <x v="10"/>
    <x v="1"/>
    <x v="2"/>
    <d v="2019-03-21T00:00:00"/>
    <x v="12"/>
    <n v="233"/>
    <n v="3"/>
    <n v="15"/>
    <s v="No"/>
    <x v="0"/>
    <x v="2"/>
  </r>
  <r>
    <s v="EMP014"/>
    <s v="Riya Patel"/>
    <x v="0"/>
    <x v="11"/>
    <x v="0"/>
    <x v="7"/>
    <d v="2020-06-09T00:00:00"/>
    <x v="13"/>
    <n v="245"/>
    <n v="2"/>
    <n v="16"/>
    <s v="No"/>
    <x v="1"/>
    <x v="0"/>
  </r>
  <r>
    <s v="EMP015"/>
    <s v="Neha Mehta"/>
    <x v="1"/>
    <x v="12"/>
    <x v="0"/>
    <x v="1"/>
    <d v="2023-06-23T00:00:00"/>
    <x v="14"/>
    <n v="238"/>
    <n v="5"/>
    <n v="28"/>
    <s v="No"/>
    <x v="1"/>
    <x v="3"/>
  </r>
  <r>
    <s v="EMP016"/>
    <s v="Kabir Patel"/>
    <x v="2"/>
    <x v="13"/>
    <x v="0"/>
    <x v="0"/>
    <d v="2019-01-30T00:00:00"/>
    <x v="15"/>
    <n v="250"/>
    <n v="1"/>
    <n v="14"/>
    <s v="No"/>
    <x v="0"/>
    <x v="0"/>
  </r>
  <r>
    <s v="EMP017"/>
    <s v="Vivaan Pillai"/>
    <x v="2"/>
    <x v="14"/>
    <x v="0"/>
    <x v="1"/>
    <d v="2024-06-11T00:00:00"/>
    <x v="1"/>
    <n v="244"/>
    <n v="2"/>
    <n v="36"/>
    <s v="No"/>
    <x v="0"/>
    <x v="0"/>
  </r>
  <r>
    <s v="EMP018"/>
    <s v="Kabir Singh"/>
    <x v="3"/>
    <x v="15"/>
    <x v="0"/>
    <x v="3"/>
    <d v="2020-02-02T00:00:00"/>
    <x v="16"/>
    <n v="232"/>
    <n v="4"/>
    <n v="26"/>
    <s v="No"/>
    <x v="0"/>
    <x v="1"/>
  </r>
  <r>
    <s v="EMP019"/>
    <s v="Pooja Sharma"/>
    <x v="5"/>
    <x v="16"/>
    <x v="0"/>
    <x v="5"/>
    <d v="2022-10-21T00:00:00"/>
    <x v="17"/>
    <n v="225"/>
    <n v="2"/>
    <n v="12"/>
    <s v="No"/>
    <x v="0"/>
    <x v="0"/>
  </r>
  <r>
    <s v="EMP020"/>
    <s v="Arjun Mehta"/>
    <x v="1"/>
    <x v="0"/>
    <x v="1"/>
    <x v="0"/>
    <d v="2019-11-05T00:00:00"/>
    <x v="18"/>
    <n v="245"/>
    <n v="1"/>
    <n v="3"/>
    <s v="No"/>
    <x v="0"/>
    <x v="0"/>
  </r>
  <r>
    <s v="EMP021"/>
    <s v="Kavya Pillai"/>
    <x v="0"/>
    <x v="17"/>
    <x v="0"/>
    <x v="7"/>
    <d v="2023-07-23T00:00:00"/>
    <x v="19"/>
    <n v="240"/>
    <n v="2"/>
    <n v="25"/>
    <s v="Yes"/>
    <x v="0"/>
    <x v="0"/>
  </r>
  <r>
    <s v="EMP022"/>
    <s v="Reyansh Mehta"/>
    <x v="0"/>
    <x v="18"/>
    <x v="1"/>
    <x v="2"/>
    <d v="2022-03-14T00:00:00"/>
    <x v="20"/>
    <n v="245"/>
    <n v="4"/>
    <n v="9"/>
    <s v="No"/>
    <x v="0"/>
    <x v="1"/>
  </r>
  <r>
    <s v="EMP023"/>
    <s v="Ishaan Sharma"/>
    <x v="4"/>
    <x v="12"/>
    <x v="0"/>
    <x v="4"/>
    <d v="2019-08-23T00:00:00"/>
    <x v="21"/>
    <n v="247"/>
    <n v="4"/>
    <n v="32"/>
    <s v="Yes"/>
    <x v="1"/>
    <x v="1"/>
  </r>
  <r>
    <s v="EMP024"/>
    <s v="Priya Reddy"/>
    <x v="0"/>
    <x v="19"/>
    <x v="0"/>
    <x v="7"/>
    <d v="2019-10-08T00:00:00"/>
    <x v="4"/>
    <n v="225"/>
    <n v="4"/>
    <n v="7"/>
    <s v="Yes"/>
    <x v="1"/>
    <x v="1"/>
  </r>
  <r>
    <s v="EMP025"/>
    <s v="Riya Kumar"/>
    <x v="4"/>
    <x v="20"/>
    <x v="0"/>
    <x v="5"/>
    <d v="2025-07-18T00:00:00"/>
    <x v="22"/>
    <n v="243"/>
    <n v="3"/>
    <n v="16"/>
    <s v="No"/>
    <x v="0"/>
    <x v="2"/>
  </r>
  <r>
    <s v="EMP026"/>
    <s v="Sneha Shah"/>
    <x v="1"/>
    <x v="3"/>
    <x v="1"/>
    <x v="7"/>
    <d v="2022-05-13T00:00:00"/>
    <x v="0"/>
    <n v="230"/>
    <n v="1"/>
    <n v="0"/>
    <s v="No"/>
    <x v="0"/>
    <x v="0"/>
  </r>
  <r>
    <s v="EMP027"/>
    <s v="Riya Patel"/>
    <x v="0"/>
    <x v="12"/>
    <x v="0"/>
    <x v="1"/>
    <d v="2020-06-26T00:00:00"/>
    <x v="23"/>
    <n v="214"/>
    <n v="2"/>
    <n v="23"/>
    <s v="No"/>
    <x v="1"/>
    <x v="0"/>
  </r>
  <r>
    <s v="EMP028"/>
    <s v="Ira Pillai"/>
    <x v="4"/>
    <x v="21"/>
    <x v="0"/>
    <x v="1"/>
    <d v="2020-02-29T00:00:00"/>
    <x v="24"/>
    <n v="226"/>
    <n v="1"/>
    <n v="6"/>
    <s v="No"/>
    <x v="0"/>
    <x v="0"/>
  </r>
  <r>
    <s v="EMP029"/>
    <s v="Arjun Iyer"/>
    <x v="2"/>
    <x v="22"/>
    <x v="1"/>
    <x v="0"/>
    <d v="2021-12-17T00:00:00"/>
    <x v="23"/>
    <n v="241"/>
    <n v="3"/>
    <n v="3"/>
    <s v="No"/>
    <x v="0"/>
    <x v="2"/>
  </r>
  <r>
    <s v="EMP030"/>
    <s v="Saanvi Pillai"/>
    <x v="2"/>
    <x v="20"/>
    <x v="0"/>
    <x v="4"/>
    <d v="2020-06-19T00:00:00"/>
    <x v="0"/>
    <n v="220"/>
    <n v="4"/>
    <n v="35"/>
    <s v="No"/>
    <x v="0"/>
    <x v="1"/>
  </r>
  <r>
    <s v="EMP031"/>
    <s v="Kavya Sharma"/>
    <x v="0"/>
    <x v="14"/>
    <x v="0"/>
    <x v="6"/>
    <d v="2023-02-21T00:00:00"/>
    <x v="25"/>
    <n v="245"/>
    <n v="2"/>
    <n v="27"/>
    <s v="No"/>
    <x v="0"/>
    <x v="0"/>
  </r>
  <r>
    <s v="EMP032"/>
    <s v="Karan Shah"/>
    <x v="0"/>
    <x v="23"/>
    <x v="0"/>
    <x v="0"/>
    <d v="2020-02-26T00:00:00"/>
    <x v="23"/>
    <n v="245"/>
    <n v="4"/>
    <n v="39"/>
    <s v="No"/>
    <x v="0"/>
    <x v="1"/>
  </r>
  <r>
    <s v="EMP033"/>
    <s v="Kabir Pillai"/>
    <x v="1"/>
    <x v="24"/>
    <x v="1"/>
    <x v="6"/>
    <d v="2021-01-04T00:00:00"/>
    <x v="26"/>
    <n v="236"/>
    <n v="2"/>
    <n v="17"/>
    <s v="No"/>
    <x v="0"/>
    <x v="0"/>
  </r>
  <r>
    <s v="EMP034"/>
    <s v="Sneha Patel"/>
    <x v="3"/>
    <x v="20"/>
    <x v="1"/>
    <x v="0"/>
    <d v="2021-03-28T00:00:00"/>
    <x v="6"/>
    <n v="232"/>
    <n v="3"/>
    <n v="14"/>
    <s v="No"/>
    <x v="0"/>
    <x v="2"/>
  </r>
  <r>
    <s v="EMP035"/>
    <s v="Amit Kumar"/>
    <x v="3"/>
    <x v="25"/>
    <x v="1"/>
    <x v="3"/>
    <d v="2022-02-17T00:00:00"/>
    <x v="18"/>
    <n v="242"/>
    <n v="4"/>
    <n v="34"/>
    <s v="No"/>
    <x v="0"/>
    <x v="1"/>
  </r>
  <r>
    <s v="EMP036"/>
    <s v="Aarav Patel"/>
    <x v="2"/>
    <x v="24"/>
    <x v="1"/>
    <x v="6"/>
    <d v="2020-03-20T00:00:00"/>
    <x v="27"/>
    <n v="232"/>
    <n v="3"/>
    <n v="27"/>
    <s v="No"/>
    <x v="0"/>
    <x v="2"/>
  </r>
  <r>
    <s v="EMP037"/>
    <s v="Priya Patel"/>
    <x v="3"/>
    <x v="4"/>
    <x v="0"/>
    <x v="1"/>
    <d v="2019-07-01T00:00:00"/>
    <x v="16"/>
    <n v="210"/>
    <n v="5"/>
    <n v="34"/>
    <s v="No"/>
    <x v="1"/>
    <x v="3"/>
  </r>
  <r>
    <s v="EMP038"/>
    <s v="Pooja Kulkarni"/>
    <x v="5"/>
    <x v="26"/>
    <x v="1"/>
    <x v="5"/>
    <d v="2019-10-14T00:00:00"/>
    <x v="28"/>
    <n v="249"/>
    <n v="3"/>
    <n v="7"/>
    <s v="No"/>
    <x v="0"/>
    <x v="2"/>
  </r>
  <r>
    <s v="EMP039"/>
    <s v="Karan Joshi"/>
    <x v="2"/>
    <x v="15"/>
    <x v="1"/>
    <x v="5"/>
    <d v="2022-04-26T00:00:00"/>
    <x v="29"/>
    <n v="218"/>
    <n v="2"/>
    <n v="26"/>
    <s v="No"/>
    <x v="0"/>
    <x v="0"/>
  </r>
  <r>
    <s v="EMP040"/>
    <s v="Aanya Rao"/>
    <x v="5"/>
    <x v="24"/>
    <x v="1"/>
    <x v="5"/>
    <d v="2025-02-22T00:00:00"/>
    <x v="30"/>
    <n v="229"/>
    <n v="3"/>
    <n v="13"/>
    <s v="No"/>
    <x v="0"/>
    <x v="2"/>
  </r>
  <r>
    <s v="EMP041"/>
    <s v="Riya Desai"/>
    <x v="5"/>
    <x v="27"/>
    <x v="1"/>
    <x v="2"/>
    <d v="2023-12-17T00:00:00"/>
    <x v="21"/>
    <n v="242"/>
    <n v="4"/>
    <n v="10"/>
    <s v="No"/>
    <x v="0"/>
    <x v="1"/>
  </r>
  <r>
    <s v="EMP042"/>
    <s v="Karan Joshi"/>
    <x v="5"/>
    <x v="25"/>
    <x v="0"/>
    <x v="0"/>
    <d v="2022-06-25T00:00:00"/>
    <x v="9"/>
    <n v="222"/>
    <n v="2"/>
    <n v="1"/>
    <s v="No"/>
    <x v="0"/>
    <x v="0"/>
  </r>
  <r>
    <s v="EMP043"/>
    <s v="Meera Desai"/>
    <x v="0"/>
    <x v="9"/>
    <x v="1"/>
    <x v="0"/>
    <d v="2023-04-22T00:00:00"/>
    <x v="19"/>
    <n v="235"/>
    <n v="2"/>
    <n v="9"/>
    <s v="No"/>
    <x v="1"/>
    <x v="0"/>
  </r>
  <r>
    <s v="EMP044"/>
    <s v="Aarav Gowda"/>
    <x v="0"/>
    <x v="2"/>
    <x v="0"/>
    <x v="7"/>
    <d v="2024-10-22T00:00:00"/>
    <x v="31"/>
    <n v="213"/>
    <n v="5"/>
    <n v="15"/>
    <s v="Yes"/>
    <x v="0"/>
    <x v="3"/>
  </r>
  <r>
    <s v="EMP045"/>
    <s v="Vihaan Nair"/>
    <x v="1"/>
    <x v="9"/>
    <x v="1"/>
    <x v="2"/>
    <d v="2025-11-14T00:00:00"/>
    <x v="32"/>
    <n v="237"/>
    <n v="5"/>
    <n v="28"/>
    <s v="Yes"/>
    <x v="1"/>
    <x v="3"/>
  </r>
  <r>
    <s v="EMP046"/>
    <s v="Pooja Pillai"/>
    <x v="3"/>
    <x v="28"/>
    <x v="1"/>
    <x v="0"/>
    <d v="2022-02-09T00:00:00"/>
    <x v="22"/>
    <n v="241"/>
    <n v="2"/>
    <n v="17"/>
    <s v="No"/>
    <x v="1"/>
    <x v="0"/>
  </r>
  <r>
    <s v="EMP047"/>
    <s v="Sneha Iyer"/>
    <x v="1"/>
    <x v="0"/>
    <x v="1"/>
    <x v="4"/>
    <d v="2025-01-21T00:00:00"/>
    <x v="33"/>
    <n v="218"/>
    <n v="2"/>
    <n v="14"/>
    <s v="No"/>
    <x v="0"/>
    <x v="0"/>
  </r>
  <r>
    <s v="EMP048"/>
    <s v="Arjun Kulkarni"/>
    <x v="1"/>
    <x v="14"/>
    <x v="1"/>
    <x v="5"/>
    <d v="2022-09-17T00:00:00"/>
    <x v="8"/>
    <n v="239"/>
    <n v="4"/>
    <n v="3"/>
    <s v="No"/>
    <x v="0"/>
    <x v="1"/>
  </r>
  <r>
    <s v="EMP049"/>
    <s v="Saanvi Mehta"/>
    <x v="4"/>
    <x v="13"/>
    <x v="1"/>
    <x v="2"/>
    <d v="2019-01-25T00:00:00"/>
    <x v="34"/>
    <n v="229"/>
    <n v="4"/>
    <n v="26"/>
    <s v="No"/>
    <x v="0"/>
    <x v="1"/>
  </r>
  <r>
    <s v="EMP050"/>
    <s v="Pooja Joshi"/>
    <x v="4"/>
    <x v="1"/>
    <x v="1"/>
    <x v="0"/>
    <d v="2022-01-22T00:00:00"/>
    <x v="35"/>
    <n v="241"/>
    <n v="1"/>
    <n v="24"/>
    <s v="No"/>
    <x v="0"/>
    <x v="0"/>
  </r>
  <r>
    <s v="EMP051"/>
    <s v="Amit Singh"/>
    <x v="3"/>
    <x v="6"/>
    <x v="1"/>
    <x v="7"/>
    <d v="2025-12-23T00:00:00"/>
    <x v="27"/>
    <n v="211"/>
    <n v="4"/>
    <n v="37"/>
    <s v="No"/>
    <x v="0"/>
    <x v="1"/>
  </r>
  <r>
    <s v="EMP052"/>
    <s v="Aarav Patel"/>
    <x v="5"/>
    <x v="2"/>
    <x v="0"/>
    <x v="2"/>
    <d v="2021-01-14T00:00:00"/>
    <x v="36"/>
    <n v="226"/>
    <n v="4"/>
    <n v="20"/>
    <s v="No"/>
    <x v="0"/>
    <x v="1"/>
  </r>
  <r>
    <s v="EMP053"/>
    <s v="Ananya Shah"/>
    <x v="3"/>
    <x v="0"/>
    <x v="1"/>
    <x v="1"/>
    <d v="2019-12-02T00:00:00"/>
    <x v="37"/>
    <n v="211"/>
    <n v="5"/>
    <n v="3"/>
    <s v="Yes"/>
    <x v="0"/>
    <x v="3"/>
  </r>
  <r>
    <s v="EMP054"/>
    <s v="Diya Kumar"/>
    <x v="5"/>
    <x v="14"/>
    <x v="0"/>
    <x v="6"/>
    <d v="2021-10-09T00:00:00"/>
    <x v="33"/>
    <n v="211"/>
    <n v="5"/>
    <n v="9"/>
    <s v="No"/>
    <x v="0"/>
    <x v="3"/>
  </r>
  <r>
    <s v="EMP055"/>
    <s v="Meera Rao"/>
    <x v="0"/>
    <x v="4"/>
    <x v="0"/>
    <x v="2"/>
    <d v="2021-11-15T00:00:00"/>
    <x v="38"/>
    <n v="220"/>
    <n v="5"/>
    <n v="38"/>
    <s v="Yes"/>
    <x v="1"/>
    <x v="3"/>
  </r>
  <r>
    <s v="EMP056"/>
    <s v="Sneha Patel"/>
    <x v="1"/>
    <x v="21"/>
    <x v="0"/>
    <x v="6"/>
    <d v="2022-07-01T00:00:00"/>
    <x v="37"/>
    <n v="234"/>
    <n v="4"/>
    <n v="12"/>
    <s v="No"/>
    <x v="0"/>
    <x v="1"/>
  </r>
  <r>
    <s v="EMP057"/>
    <s v="Sneha Pillai"/>
    <x v="5"/>
    <x v="29"/>
    <x v="0"/>
    <x v="1"/>
    <d v="2025-09-25T00:00:00"/>
    <x v="39"/>
    <n v="246"/>
    <n v="1"/>
    <n v="22"/>
    <s v="No"/>
    <x v="0"/>
    <x v="0"/>
  </r>
  <r>
    <s v="EMP058"/>
    <s v="Amit Shah"/>
    <x v="0"/>
    <x v="19"/>
    <x v="1"/>
    <x v="6"/>
    <d v="2023-09-17T00:00:00"/>
    <x v="19"/>
    <n v="216"/>
    <n v="4"/>
    <n v="23"/>
    <s v="No"/>
    <x v="1"/>
    <x v="1"/>
  </r>
  <r>
    <s v="EMP059"/>
    <s v="Ira Kulkarni"/>
    <x v="1"/>
    <x v="2"/>
    <x v="0"/>
    <x v="1"/>
    <d v="2025-11-27T00:00:00"/>
    <x v="8"/>
    <n v="240"/>
    <n v="4"/>
    <n v="27"/>
    <s v="No"/>
    <x v="0"/>
    <x v="1"/>
  </r>
  <r>
    <s v="EMP060"/>
    <s v="Riya Iyer"/>
    <x v="2"/>
    <x v="29"/>
    <x v="0"/>
    <x v="1"/>
    <d v="2024-01-21T00:00:00"/>
    <x v="18"/>
    <n v="239"/>
    <n v="5"/>
    <n v="39"/>
    <s v="No"/>
    <x v="0"/>
    <x v="3"/>
  </r>
  <r>
    <s v="EMP061"/>
    <s v="Ananya Sharma"/>
    <x v="3"/>
    <x v="27"/>
    <x v="0"/>
    <x v="2"/>
    <d v="2021-05-18T00:00:00"/>
    <x v="18"/>
    <n v="226"/>
    <n v="3"/>
    <n v="17"/>
    <s v="Yes"/>
    <x v="0"/>
    <x v="2"/>
  </r>
  <r>
    <s v="EMP062"/>
    <s v="Sneha Gowda"/>
    <x v="2"/>
    <x v="30"/>
    <x v="0"/>
    <x v="0"/>
    <d v="2019-12-17T00:00:00"/>
    <x v="18"/>
    <n v="236"/>
    <n v="4"/>
    <n v="35"/>
    <s v="No"/>
    <x v="1"/>
    <x v="1"/>
  </r>
  <r>
    <s v="EMP063"/>
    <s v="Sneha Nair"/>
    <x v="5"/>
    <x v="11"/>
    <x v="1"/>
    <x v="6"/>
    <d v="2020-01-17T00:00:00"/>
    <x v="24"/>
    <n v="224"/>
    <n v="4"/>
    <n v="15"/>
    <s v="No"/>
    <x v="1"/>
    <x v="1"/>
  </r>
  <r>
    <s v="EMP064"/>
    <s v="Riya Shah"/>
    <x v="3"/>
    <x v="30"/>
    <x v="1"/>
    <x v="5"/>
    <d v="2025-03-04T00:00:00"/>
    <x v="4"/>
    <n v="232"/>
    <n v="4"/>
    <n v="17"/>
    <s v="No"/>
    <x v="1"/>
    <x v="1"/>
  </r>
  <r>
    <s v="EMP065"/>
    <s v="Kabir Patel"/>
    <x v="5"/>
    <x v="26"/>
    <x v="1"/>
    <x v="3"/>
    <d v="2025-01-03T00:00:00"/>
    <x v="40"/>
    <n v="222"/>
    <n v="2"/>
    <n v="30"/>
    <s v="No"/>
    <x v="0"/>
    <x v="0"/>
  </r>
  <r>
    <s v="EMP066"/>
    <s v="Riya Singh"/>
    <x v="4"/>
    <x v="31"/>
    <x v="0"/>
    <x v="0"/>
    <d v="2022-04-28T00:00:00"/>
    <x v="15"/>
    <n v="233"/>
    <n v="2"/>
    <n v="19"/>
    <s v="No"/>
    <x v="0"/>
    <x v="0"/>
  </r>
  <r>
    <s v="EMP067"/>
    <s v="Kavya Reddy"/>
    <x v="2"/>
    <x v="20"/>
    <x v="0"/>
    <x v="1"/>
    <d v="2020-06-01T00:00:00"/>
    <x v="41"/>
    <n v="216"/>
    <n v="1"/>
    <n v="36"/>
    <s v="No"/>
    <x v="0"/>
    <x v="0"/>
  </r>
  <r>
    <s v="EMP068"/>
    <s v="Meera Nair"/>
    <x v="2"/>
    <x v="24"/>
    <x v="0"/>
    <x v="1"/>
    <d v="2024-05-10T00:00:00"/>
    <x v="3"/>
    <n v="214"/>
    <n v="4"/>
    <n v="31"/>
    <s v="No"/>
    <x v="0"/>
    <x v="1"/>
  </r>
  <r>
    <s v="EMP069"/>
    <s v="Rahul Rao"/>
    <x v="0"/>
    <x v="32"/>
    <x v="0"/>
    <x v="1"/>
    <d v="2019-12-15T00:00:00"/>
    <x v="42"/>
    <n v="217"/>
    <n v="5"/>
    <n v="26"/>
    <s v="No"/>
    <x v="0"/>
    <x v="3"/>
  </r>
  <r>
    <s v="EMP070"/>
    <s v="Neha Kumar"/>
    <x v="4"/>
    <x v="18"/>
    <x v="1"/>
    <x v="2"/>
    <d v="2022-05-02T00:00:00"/>
    <x v="27"/>
    <n v="237"/>
    <n v="3"/>
    <n v="36"/>
    <s v="No"/>
    <x v="0"/>
    <x v="2"/>
  </r>
  <r>
    <s v="EMP071"/>
    <s v="Neha Kulkarni"/>
    <x v="0"/>
    <x v="22"/>
    <x v="0"/>
    <x v="1"/>
    <d v="2019-11-29T00:00:00"/>
    <x v="16"/>
    <n v="225"/>
    <n v="2"/>
    <n v="35"/>
    <s v="No"/>
    <x v="0"/>
    <x v="0"/>
  </r>
  <r>
    <s v="EMP072"/>
    <s v="Aarav Mehta"/>
    <x v="3"/>
    <x v="33"/>
    <x v="1"/>
    <x v="6"/>
    <d v="2021-08-06T00:00:00"/>
    <x v="43"/>
    <n v="228"/>
    <n v="4"/>
    <n v="4"/>
    <s v="No"/>
    <x v="1"/>
    <x v="1"/>
  </r>
  <r>
    <s v="EMP073"/>
    <s v="Rohan Singh"/>
    <x v="5"/>
    <x v="26"/>
    <x v="1"/>
    <x v="3"/>
    <d v="2025-02-08T00:00:00"/>
    <x v="9"/>
    <n v="219"/>
    <n v="3"/>
    <n v="9"/>
    <s v="No"/>
    <x v="0"/>
    <x v="2"/>
  </r>
  <r>
    <s v="EMP074"/>
    <s v="Reyansh Singh"/>
    <x v="2"/>
    <x v="4"/>
    <x v="1"/>
    <x v="2"/>
    <d v="2020-05-24T00:00:00"/>
    <x v="44"/>
    <n v="229"/>
    <n v="4"/>
    <n v="17"/>
    <s v="No"/>
    <x v="1"/>
    <x v="1"/>
  </r>
  <r>
    <s v="EMP075"/>
    <s v="Meera Nair"/>
    <x v="0"/>
    <x v="20"/>
    <x v="1"/>
    <x v="4"/>
    <d v="2025-10-08T00:00:00"/>
    <x v="22"/>
    <n v="211"/>
    <n v="1"/>
    <n v="14"/>
    <s v="Yes"/>
    <x v="0"/>
    <x v="0"/>
  </r>
  <r>
    <s v="EMP076"/>
    <s v="Riya Desai"/>
    <x v="0"/>
    <x v="0"/>
    <x v="0"/>
    <x v="7"/>
    <d v="2024-04-11T00:00:00"/>
    <x v="45"/>
    <n v="238"/>
    <n v="3"/>
    <n v="11"/>
    <s v="Yes"/>
    <x v="0"/>
    <x v="2"/>
  </r>
  <r>
    <s v="EMP077"/>
    <s v="Saanvi Rao"/>
    <x v="3"/>
    <x v="17"/>
    <x v="1"/>
    <x v="4"/>
    <d v="2023-07-31T00:00:00"/>
    <x v="4"/>
    <n v="230"/>
    <n v="1"/>
    <n v="10"/>
    <s v="No"/>
    <x v="0"/>
    <x v="0"/>
  </r>
  <r>
    <s v="EMP078"/>
    <s v="Sneha Nair"/>
    <x v="2"/>
    <x v="7"/>
    <x v="0"/>
    <x v="2"/>
    <d v="2019-12-27T00:00:00"/>
    <x v="16"/>
    <n v="226"/>
    <n v="3"/>
    <n v="7"/>
    <s v="Yes"/>
    <x v="0"/>
    <x v="2"/>
  </r>
  <r>
    <s v="EMP079"/>
    <s v="Aanya Pillai"/>
    <x v="4"/>
    <x v="10"/>
    <x v="1"/>
    <x v="5"/>
    <d v="2019-08-11T00:00:00"/>
    <x v="46"/>
    <n v="243"/>
    <n v="3"/>
    <n v="39"/>
    <s v="No"/>
    <x v="0"/>
    <x v="2"/>
  </r>
  <r>
    <s v="EMP080"/>
    <s v="Rahul Nair"/>
    <x v="0"/>
    <x v="22"/>
    <x v="1"/>
    <x v="7"/>
    <d v="2022-03-25T00:00:00"/>
    <x v="47"/>
    <n v="241"/>
    <n v="1"/>
    <n v="1"/>
    <s v="Yes"/>
    <x v="0"/>
    <x v="0"/>
  </r>
  <r>
    <s v="EMP081"/>
    <s v="Neha Singh"/>
    <x v="1"/>
    <x v="6"/>
    <x v="1"/>
    <x v="6"/>
    <d v="2025-03-12T00:00:00"/>
    <x v="1"/>
    <n v="215"/>
    <n v="2"/>
    <n v="7"/>
    <s v="No"/>
    <x v="0"/>
    <x v="0"/>
  </r>
  <r>
    <s v="EMP082"/>
    <s v="Vihaan Rao"/>
    <x v="1"/>
    <x v="11"/>
    <x v="1"/>
    <x v="1"/>
    <d v="2023-08-29T00:00:00"/>
    <x v="35"/>
    <n v="240"/>
    <n v="2"/>
    <n v="29"/>
    <s v="No"/>
    <x v="1"/>
    <x v="0"/>
  </r>
  <r>
    <s v="EMP083"/>
    <s v="Aanya Kumar"/>
    <x v="4"/>
    <x v="19"/>
    <x v="0"/>
    <x v="3"/>
    <d v="2022-02-05T00:00:00"/>
    <x v="0"/>
    <n v="231"/>
    <n v="5"/>
    <n v="17"/>
    <s v="No"/>
    <x v="1"/>
    <x v="3"/>
  </r>
  <r>
    <s v="EMP084"/>
    <s v="Karan Kulkarni"/>
    <x v="2"/>
    <x v="11"/>
    <x v="0"/>
    <x v="2"/>
    <d v="2025-01-15T00:00:00"/>
    <x v="48"/>
    <n v="232"/>
    <n v="3"/>
    <n v="35"/>
    <s v="No"/>
    <x v="1"/>
    <x v="2"/>
  </r>
  <r>
    <s v="EMP085"/>
    <s v="Aanya Nair"/>
    <x v="2"/>
    <x v="26"/>
    <x v="0"/>
    <x v="5"/>
    <d v="2021-08-14T00:00:00"/>
    <x v="22"/>
    <n v="212"/>
    <n v="3"/>
    <n v="30"/>
    <s v="No"/>
    <x v="0"/>
    <x v="2"/>
  </r>
  <r>
    <s v="EMP086"/>
    <s v="Aanya Mehta"/>
    <x v="5"/>
    <x v="32"/>
    <x v="1"/>
    <x v="6"/>
    <d v="2020-06-01T00:00:00"/>
    <x v="34"/>
    <n v="247"/>
    <n v="3"/>
    <n v="6"/>
    <s v="Yes"/>
    <x v="0"/>
    <x v="2"/>
  </r>
  <r>
    <s v="EMP087"/>
    <s v="Ira Patel"/>
    <x v="4"/>
    <x v="9"/>
    <x v="0"/>
    <x v="7"/>
    <d v="2023-08-07T00:00:00"/>
    <x v="49"/>
    <n v="214"/>
    <n v="4"/>
    <n v="16"/>
    <s v="No"/>
    <x v="1"/>
    <x v="1"/>
  </r>
  <r>
    <s v="EMP088"/>
    <s v="Sneha Mehta"/>
    <x v="5"/>
    <x v="17"/>
    <x v="1"/>
    <x v="5"/>
    <d v="2022-07-21T00:00:00"/>
    <x v="43"/>
    <n v="244"/>
    <n v="1"/>
    <n v="39"/>
    <s v="No"/>
    <x v="0"/>
    <x v="0"/>
  </r>
  <r>
    <s v="EMP089"/>
    <s v="Rahul Rao"/>
    <x v="2"/>
    <x v="1"/>
    <x v="0"/>
    <x v="5"/>
    <d v="2020-02-08T00:00:00"/>
    <x v="5"/>
    <n v="238"/>
    <n v="2"/>
    <n v="19"/>
    <s v="Yes"/>
    <x v="0"/>
    <x v="0"/>
  </r>
  <r>
    <s v="EMP090"/>
    <s v="Vivaan Shah"/>
    <x v="0"/>
    <x v="31"/>
    <x v="1"/>
    <x v="4"/>
    <d v="2023-10-31T00:00:00"/>
    <x v="32"/>
    <n v="225"/>
    <n v="5"/>
    <n v="26"/>
    <s v="No"/>
    <x v="0"/>
    <x v="3"/>
  </r>
  <r>
    <s v="EMP091"/>
    <s v="Reyansh Reddy"/>
    <x v="1"/>
    <x v="17"/>
    <x v="1"/>
    <x v="0"/>
    <d v="2024-07-31T00:00:00"/>
    <x v="10"/>
    <n v="219"/>
    <n v="2"/>
    <n v="29"/>
    <s v="No"/>
    <x v="0"/>
    <x v="0"/>
  </r>
  <r>
    <s v="EMP092"/>
    <s v="Ira Iyer"/>
    <x v="5"/>
    <x v="10"/>
    <x v="1"/>
    <x v="1"/>
    <d v="2025-02-16T00:00:00"/>
    <x v="50"/>
    <n v="214"/>
    <n v="4"/>
    <n v="22"/>
    <s v="Yes"/>
    <x v="0"/>
    <x v="1"/>
  </r>
  <r>
    <s v="EMP093"/>
    <s v="Karan Rao"/>
    <x v="3"/>
    <x v="3"/>
    <x v="1"/>
    <x v="1"/>
    <d v="2021-03-26T00:00:00"/>
    <x v="35"/>
    <n v="240"/>
    <n v="1"/>
    <n v="15"/>
    <s v="No"/>
    <x v="0"/>
    <x v="0"/>
  </r>
  <r>
    <s v="EMP094"/>
    <s v="Diya Desai"/>
    <x v="2"/>
    <x v="31"/>
    <x v="0"/>
    <x v="5"/>
    <d v="2022-01-29T00:00:00"/>
    <x v="2"/>
    <n v="246"/>
    <n v="1"/>
    <n v="38"/>
    <s v="No"/>
    <x v="0"/>
    <x v="0"/>
  </r>
  <r>
    <s v="EMP095"/>
    <s v="Karan Singh"/>
    <x v="1"/>
    <x v="23"/>
    <x v="0"/>
    <x v="0"/>
    <d v="2025-12-18T00:00:00"/>
    <x v="51"/>
    <n v="218"/>
    <n v="1"/>
    <n v="40"/>
    <s v="No"/>
    <x v="0"/>
    <x v="0"/>
  </r>
  <r>
    <s v="EMP096"/>
    <s v="Karan Singh"/>
    <x v="3"/>
    <x v="20"/>
    <x v="1"/>
    <x v="7"/>
    <d v="2020-01-05T00:00:00"/>
    <x v="43"/>
    <n v="230"/>
    <n v="4"/>
    <n v="11"/>
    <s v="No"/>
    <x v="0"/>
    <x v="1"/>
  </r>
  <r>
    <s v="EMP097"/>
    <s v="Kavya Gowda"/>
    <x v="2"/>
    <x v="34"/>
    <x v="1"/>
    <x v="7"/>
    <d v="2021-11-18T00:00:00"/>
    <x v="48"/>
    <n v="228"/>
    <n v="3"/>
    <n v="7"/>
    <s v="No"/>
    <x v="1"/>
    <x v="2"/>
  </r>
  <r>
    <s v="EMP098"/>
    <s v="Aditya Reddy"/>
    <x v="1"/>
    <x v="7"/>
    <x v="1"/>
    <x v="3"/>
    <d v="2023-06-05T00:00:00"/>
    <x v="39"/>
    <n v="226"/>
    <n v="5"/>
    <n v="7"/>
    <s v="No"/>
    <x v="0"/>
    <x v="3"/>
  </r>
  <r>
    <s v="EMP099"/>
    <s v="Amit Kulkarni"/>
    <x v="5"/>
    <x v="3"/>
    <x v="1"/>
    <x v="4"/>
    <d v="2020-03-19T00:00:00"/>
    <x v="9"/>
    <n v="240"/>
    <n v="1"/>
    <n v="39"/>
    <s v="Yes"/>
    <x v="0"/>
    <x v="0"/>
  </r>
  <r>
    <s v="EMP100"/>
    <s v="Kavya Shah"/>
    <x v="4"/>
    <x v="1"/>
    <x v="0"/>
    <x v="2"/>
    <d v="2022-05-22T00:00:00"/>
    <x v="0"/>
    <n v="217"/>
    <n v="2"/>
    <n v="2"/>
    <s v="Yes"/>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IT"/>
    <n v="39"/>
    <s v="Female"/>
    <x v="0"/>
    <d v="2020-07-25T00:00:00"/>
    <n v="59000"/>
    <n v="244"/>
    <n v="1"/>
    <n v="37"/>
    <s v="No"/>
    <x v="0"/>
    <s v="Poor"/>
  </r>
  <r>
    <s v="HR"/>
    <n v="36"/>
    <s v="Female"/>
    <x v="0"/>
    <d v="2025-02-10T00:00:00"/>
    <n v="56000"/>
    <n v="224"/>
    <n v="4"/>
    <n v="37"/>
    <s v="No"/>
    <x v="0"/>
    <s v="Good"/>
  </r>
  <r>
    <s v="HR"/>
    <n v="49"/>
    <s v="Male"/>
    <x v="1"/>
    <d v="2020-09-28T00:00:00"/>
    <n v="43000"/>
    <n v="231"/>
    <n v="1"/>
    <n v="5"/>
    <s v="No"/>
    <x v="0"/>
    <s v="Poor"/>
  </r>
  <r>
    <s v="Finance"/>
    <n v="38"/>
    <s v="Female"/>
    <x v="2"/>
    <d v="2025-01-05T00:00:00"/>
    <n v="50000"/>
    <n v="234"/>
    <n v="1"/>
    <n v="35"/>
    <s v="No"/>
    <x v="0"/>
    <s v="Poor"/>
  </r>
  <r>
    <s v="Finance"/>
    <n v="58"/>
    <s v="Female"/>
    <x v="3"/>
    <d v="2019-07-07T00:00:00"/>
    <n v="57000"/>
    <n v="228"/>
    <n v="1"/>
    <n v="14"/>
    <s v="Yes"/>
    <x v="1"/>
    <s v="Poor"/>
  </r>
  <r>
    <s v="Marketing"/>
    <n v="45"/>
    <s v="Female"/>
    <x v="4"/>
    <d v="2022-12-26T00:00:00"/>
    <n v="49000"/>
    <n v="227"/>
    <n v="1"/>
    <n v="38"/>
    <s v="No"/>
    <x v="0"/>
    <s v="Poor"/>
  </r>
  <r>
    <s v="HR"/>
    <n v="32"/>
    <s v="Male"/>
    <x v="5"/>
    <d v="2022-01-10T00:00:00"/>
    <n v="65000"/>
    <n v="224"/>
    <n v="3"/>
    <n v="3"/>
    <s v="No"/>
    <x v="0"/>
    <s v="Average"/>
  </r>
  <r>
    <s v="Finance"/>
    <n v="47"/>
    <s v="Male"/>
    <x v="3"/>
    <d v="2021-05-14T00:00:00"/>
    <n v="79000"/>
    <n v="230"/>
    <n v="2"/>
    <n v="31"/>
    <s v="No"/>
    <x v="0"/>
    <s v="Poor"/>
  </r>
  <r>
    <s v="HR"/>
    <n v="38"/>
    <s v="Female"/>
    <x v="0"/>
    <d v="2025-04-18T00:00:00"/>
    <n v="64000"/>
    <n v="226"/>
    <n v="5"/>
    <n v="27"/>
    <s v="Yes"/>
    <x v="0"/>
    <s v="Excellent"/>
  </r>
  <r>
    <s v="HR"/>
    <n v="30"/>
    <s v="Male"/>
    <x v="3"/>
    <d v="2019-07-12T00:00:00"/>
    <n v="37000"/>
    <n v="219"/>
    <n v="2"/>
    <n v="27"/>
    <s v="No"/>
    <x v="0"/>
    <s v="Poor"/>
  </r>
  <r>
    <s v="Operations"/>
    <n v="51"/>
    <s v="Male"/>
    <x v="6"/>
    <d v="2020-04-14T00:00:00"/>
    <n v="67000"/>
    <n v="227"/>
    <n v="3"/>
    <n v="7"/>
    <s v="No"/>
    <x v="1"/>
    <s v="Average"/>
  </r>
  <r>
    <s v="IT"/>
    <n v="38"/>
    <s v="Female"/>
    <x v="3"/>
    <d v="2022-05-07T00:00:00"/>
    <n v="85000"/>
    <n v="248"/>
    <n v="2"/>
    <n v="9"/>
    <s v="No"/>
    <x v="0"/>
    <s v="Poor"/>
  </r>
  <r>
    <s v="Operations"/>
    <n v="22"/>
    <s v="Male"/>
    <x v="2"/>
    <d v="2019-03-21T00:00:00"/>
    <n v="40000"/>
    <n v="233"/>
    <n v="3"/>
    <n v="15"/>
    <s v="No"/>
    <x v="0"/>
    <s v="Average"/>
  </r>
  <r>
    <s v="IT"/>
    <n v="53"/>
    <s v="Female"/>
    <x v="7"/>
    <d v="2020-06-09T00:00:00"/>
    <n v="83000"/>
    <n v="245"/>
    <n v="2"/>
    <n v="16"/>
    <s v="No"/>
    <x v="1"/>
    <s v="Poor"/>
  </r>
  <r>
    <s v="HR"/>
    <n v="56"/>
    <s v="Female"/>
    <x v="1"/>
    <d v="2023-06-23T00:00:00"/>
    <n v="53000"/>
    <n v="238"/>
    <n v="5"/>
    <n v="28"/>
    <s v="No"/>
    <x v="1"/>
    <s v="Excellent"/>
  </r>
  <r>
    <s v="Finance"/>
    <n v="23"/>
    <s v="Female"/>
    <x v="0"/>
    <d v="2019-01-30T00:00:00"/>
    <n v="47000"/>
    <n v="250"/>
    <n v="1"/>
    <n v="14"/>
    <s v="No"/>
    <x v="0"/>
    <s v="Poor"/>
  </r>
  <r>
    <s v="Finance"/>
    <n v="26"/>
    <s v="Female"/>
    <x v="1"/>
    <d v="2024-06-11T00:00:00"/>
    <n v="56000"/>
    <n v="244"/>
    <n v="2"/>
    <n v="36"/>
    <s v="No"/>
    <x v="0"/>
    <s v="Poor"/>
  </r>
  <r>
    <s v="Marketing"/>
    <n v="48"/>
    <s v="Female"/>
    <x v="3"/>
    <d v="2020-02-02T00:00:00"/>
    <n v="63000"/>
    <n v="232"/>
    <n v="4"/>
    <n v="26"/>
    <s v="No"/>
    <x v="0"/>
    <s v="Good"/>
  </r>
  <r>
    <s v="Customer Support"/>
    <n v="28"/>
    <s v="Female"/>
    <x v="5"/>
    <d v="2022-10-21T00:00:00"/>
    <n v="29000"/>
    <n v="225"/>
    <n v="2"/>
    <n v="12"/>
    <s v="No"/>
    <x v="0"/>
    <s v="Poor"/>
  </r>
  <r>
    <s v="HR"/>
    <n v="39"/>
    <s v="Male"/>
    <x v="0"/>
    <d v="2019-11-05T00:00:00"/>
    <n v="58000"/>
    <n v="245"/>
    <n v="1"/>
    <n v="3"/>
    <s v="No"/>
    <x v="0"/>
    <s v="Poor"/>
  </r>
  <r>
    <s v="IT"/>
    <n v="27"/>
    <s v="Female"/>
    <x v="7"/>
    <d v="2023-07-23T00:00:00"/>
    <n v="84000"/>
    <n v="240"/>
    <n v="2"/>
    <n v="25"/>
    <s v="Yes"/>
    <x v="0"/>
    <s v="Poor"/>
  </r>
  <r>
    <s v="IT"/>
    <n v="46"/>
    <s v="Male"/>
    <x v="2"/>
    <d v="2022-03-14T00:00:00"/>
    <n v="80000"/>
    <n v="245"/>
    <n v="4"/>
    <n v="9"/>
    <s v="No"/>
    <x v="0"/>
    <s v="Good"/>
  </r>
  <r>
    <s v="Operations"/>
    <n v="56"/>
    <s v="Female"/>
    <x v="4"/>
    <d v="2019-08-23T00:00:00"/>
    <n v="36000"/>
    <n v="247"/>
    <n v="4"/>
    <n v="32"/>
    <s v="Yes"/>
    <x v="1"/>
    <s v="Good"/>
  </r>
  <r>
    <s v="IT"/>
    <n v="54"/>
    <s v="Female"/>
    <x v="7"/>
    <d v="2019-10-08T00:00:00"/>
    <n v="57000"/>
    <n v="225"/>
    <n v="4"/>
    <n v="7"/>
    <s v="Yes"/>
    <x v="1"/>
    <s v="Good"/>
  </r>
  <r>
    <s v="Operations"/>
    <n v="24"/>
    <s v="Female"/>
    <x v="5"/>
    <d v="2025-07-18T00:00:00"/>
    <n v="69000"/>
    <n v="243"/>
    <n v="3"/>
    <n v="16"/>
    <s v="No"/>
    <x v="0"/>
    <s v="Average"/>
  </r>
  <r>
    <s v="HR"/>
    <n v="38"/>
    <s v="Male"/>
    <x v="7"/>
    <d v="2022-05-13T00:00:00"/>
    <n v="59000"/>
    <n v="230"/>
    <n v="1"/>
    <n v="0"/>
    <s v="No"/>
    <x v="0"/>
    <s v="Poor"/>
  </r>
  <r>
    <s v="IT"/>
    <n v="56"/>
    <s v="Female"/>
    <x v="1"/>
    <d v="2020-06-26T00:00:00"/>
    <n v="75000"/>
    <n v="214"/>
    <n v="2"/>
    <n v="23"/>
    <s v="No"/>
    <x v="1"/>
    <s v="Poor"/>
  </r>
  <r>
    <s v="Operations"/>
    <n v="41"/>
    <s v="Female"/>
    <x v="1"/>
    <d v="2020-02-29T00:00:00"/>
    <n v="41000"/>
    <n v="226"/>
    <n v="1"/>
    <n v="6"/>
    <s v="No"/>
    <x v="0"/>
    <s v="Poor"/>
  </r>
  <r>
    <s v="Finance"/>
    <n v="35"/>
    <s v="Male"/>
    <x v="0"/>
    <d v="2021-12-17T00:00:00"/>
    <n v="75000"/>
    <n v="241"/>
    <n v="3"/>
    <n v="3"/>
    <s v="No"/>
    <x v="0"/>
    <s v="Average"/>
  </r>
  <r>
    <s v="Finance"/>
    <n v="24"/>
    <s v="Female"/>
    <x v="4"/>
    <d v="2020-06-19T00:00:00"/>
    <n v="59000"/>
    <n v="220"/>
    <n v="4"/>
    <n v="35"/>
    <s v="No"/>
    <x v="0"/>
    <s v="Good"/>
  </r>
  <r>
    <s v="IT"/>
    <n v="26"/>
    <s v="Female"/>
    <x v="6"/>
    <d v="2023-02-21T00:00:00"/>
    <n v="90000"/>
    <n v="245"/>
    <n v="2"/>
    <n v="27"/>
    <s v="No"/>
    <x v="0"/>
    <s v="Poor"/>
  </r>
  <r>
    <s v="IT"/>
    <n v="44"/>
    <s v="Female"/>
    <x v="0"/>
    <d v="2020-02-26T00:00:00"/>
    <n v="75000"/>
    <n v="245"/>
    <n v="4"/>
    <n v="39"/>
    <s v="No"/>
    <x v="0"/>
    <s v="Good"/>
  </r>
  <r>
    <s v="HR"/>
    <n v="33"/>
    <s v="Male"/>
    <x v="6"/>
    <d v="2021-01-04T00:00:00"/>
    <n v="51000"/>
    <n v="236"/>
    <n v="2"/>
    <n v="17"/>
    <s v="No"/>
    <x v="0"/>
    <s v="Poor"/>
  </r>
  <r>
    <s v="Marketing"/>
    <n v="24"/>
    <s v="Male"/>
    <x v="0"/>
    <d v="2021-03-28T00:00:00"/>
    <n v="65000"/>
    <n v="232"/>
    <n v="3"/>
    <n v="14"/>
    <s v="No"/>
    <x v="0"/>
    <s v="Average"/>
  </r>
  <r>
    <s v="Marketing"/>
    <n v="43"/>
    <s v="Male"/>
    <x v="3"/>
    <d v="2022-02-17T00:00:00"/>
    <n v="58000"/>
    <n v="242"/>
    <n v="4"/>
    <n v="34"/>
    <s v="No"/>
    <x v="0"/>
    <s v="Good"/>
  </r>
  <r>
    <s v="Finance"/>
    <n v="33"/>
    <s v="Male"/>
    <x v="6"/>
    <d v="2020-03-20T00:00:00"/>
    <n v="70000"/>
    <n v="232"/>
    <n v="3"/>
    <n v="27"/>
    <s v="No"/>
    <x v="0"/>
    <s v="Average"/>
  </r>
  <r>
    <s v="Marketing"/>
    <n v="58"/>
    <s v="Female"/>
    <x v="1"/>
    <d v="2019-07-01T00:00:00"/>
    <n v="63000"/>
    <n v="210"/>
    <n v="5"/>
    <n v="34"/>
    <s v="No"/>
    <x v="1"/>
    <s v="Excellent"/>
  </r>
  <r>
    <s v="Customer Support"/>
    <n v="34"/>
    <s v="Male"/>
    <x v="5"/>
    <d v="2019-10-14T00:00:00"/>
    <n v="44000"/>
    <n v="249"/>
    <n v="3"/>
    <n v="7"/>
    <s v="No"/>
    <x v="0"/>
    <s v="Average"/>
  </r>
  <r>
    <s v="Finance"/>
    <n v="48"/>
    <s v="Male"/>
    <x v="5"/>
    <d v="2022-04-26T00:00:00"/>
    <n v="78000"/>
    <n v="218"/>
    <n v="2"/>
    <n v="26"/>
    <s v="No"/>
    <x v="0"/>
    <s v="Poor"/>
  </r>
  <r>
    <s v="Customer Support"/>
    <n v="33"/>
    <s v="Male"/>
    <x v="5"/>
    <d v="2025-02-22T00:00:00"/>
    <n v="23000"/>
    <n v="229"/>
    <n v="3"/>
    <n v="13"/>
    <s v="No"/>
    <x v="0"/>
    <s v="Average"/>
  </r>
  <r>
    <s v="Customer Support"/>
    <n v="42"/>
    <s v="Male"/>
    <x v="2"/>
    <d v="2023-12-17T00:00:00"/>
    <n v="36000"/>
    <n v="242"/>
    <n v="4"/>
    <n v="10"/>
    <s v="No"/>
    <x v="0"/>
    <s v="Good"/>
  </r>
  <r>
    <s v="Customer Support"/>
    <n v="43"/>
    <s v="Female"/>
    <x v="0"/>
    <d v="2022-06-25T00:00:00"/>
    <n v="37000"/>
    <n v="222"/>
    <n v="2"/>
    <n v="1"/>
    <s v="No"/>
    <x v="0"/>
    <s v="Poor"/>
  </r>
  <r>
    <s v="IT"/>
    <n v="51"/>
    <s v="Male"/>
    <x v="0"/>
    <d v="2023-04-22T00:00:00"/>
    <n v="84000"/>
    <n v="235"/>
    <n v="2"/>
    <n v="9"/>
    <s v="No"/>
    <x v="1"/>
    <s v="Poor"/>
  </r>
  <r>
    <s v="IT"/>
    <n v="49"/>
    <s v="Female"/>
    <x v="7"/>
    <d v="2024-10-22T00:00:00"/>
    <n v="82000"/>
    <n v="213"/>
    <n v="5"/>
    <n v="15"/>
    <s v="Yes"/>
    <x v="0"/>
    <s v="Excellent"/>
  </r>
  <r>
    <s v="HR"/>
    <n v="51"/>
    <s v="Male"/>
    <x v="2"/>
    <d v="2025-11-14T00:00:00"/>
    <n v="62000"/>
    <n v="237"/>
    <n v="5"/>
    <n v="28"/>
    <s v="Yes"/>
    <x v="1"/>
    <s v="Excellent"/>
  </r>
  <r>
    <s v="Marketing"/>
    <n v="50"/>
    <s v="Male"/>
    <x v="0"/>
    <d v="2022-02-09T00:00:00"/>
    <n v="69000"/>
    <n v="241"/>
    <n v="2"/>
    <n v="17"/>
    <s v="No"/>
    <x v="1"/>
    <s v="Poor"/>
  </r>
  <r>
    <s v="HR"/>
    <n v="39"/>
    <s v="Male"/>
    <x v="4"/>
    <d v="2025-01-21T00:00:00"/>
    <n v="35000"/>
    <n v="218"/>
    <n v="2"/>
    <n v="14"/>
    <s v="No"/>
    <x v="0"/>
    <s v="Poor"/>
  </r>
  <r>
    <s v="HR"/>
    <n v="26"/>
    <s v="Male"/>
    <x v="5"/>
    <d v="2022-09-17T00:00:00"/>
    <n v="64000"/>
    <n v="239"/>
    <n v="4"/>
    <n v="3"/>
    <s v="No"/>
    <x v="0"/>
    <s v="Good"/>
  </r>
  <r>
    <s v="Operations"/>
    <n v="23"/>
    <s v="Male"/>
    <x v="2"/>
    <d v="2019-01-25T00:00:00"/>
    <n v="55000"/>
    <n v="229"/>
    <n v="4"/>
    <n v="26"/>
    <s v="No"/>
    <x v="0"/>
    <s v="Good"/>
  </r>
  <r>
    <s v="Operations"/>
    <n v="36"/>
    <s v="Male"/>
    <x v="0"/>
    <d v="2022-01-22T00:00:00"/>
    <n v="60000"/>
    <n v="241"/>
    <n v="1"/>
    <n v="24"/>
    <s v="No"/>
    <x v="0"/>
    <s v="Poor"/>
  </r>
  <r>
    <s v="Marketing"/>
    <n v="32"/>
    <s v="Male"/>
    <x v="7"/>
    <d v="2025-12-23T00:00:00"/>
    <n v="70000"/>
    <n v="211"/>
    <n v="4"/>
    <n v="37"/>
    <s v="No"/>
    <x v="0"/>
    <s v="Good"/>
  </r>
  <r>
    <s v="Customer Support"/>
    <n v="49"/>
    <s v="Female"/>
    <x v="2"/>
    <d v="2021-01-14T00:00:00"/>
    <n v="26000"/>
    <n v="226"/>
    <n v="4"/>
    <n v="20"/>
    <s v="No"/>
    <x v="0"/>
    <s v="Good"/>
  </r>
  <r>
    <s v="Marketing"/>
    <n v="39"/>
    <s v="Male"/>
    <x v="1"/>
    <d v="2019-12-02T00:00:00"/>
    <n v="66000"/>
    <n v="211"/>
    <n v="5"/>
    <n v="3"/>
    <s v="Yes"/>
    <x v="0"/>
    <s v="Excellent"/>
  </r>
  <r>
    <s v="Customer Support"/>
    <n v="26"/>
    <s v="Female"/>
    <x v="6"/>
    <d v="2021-10-09T00:00:00"/>
    <n v="35000"/>
    <n v="211"/>
    <n v="5"/>
    <n v="9"/>
    <s v="No"/>
    <x v="0"/>
    <s v="Excellent"/>
  </r>
  <r>
    <s v="IT"/>
    <n v="58"/>
    <s v="Female"/>
    <x v="2"/>
    <d v="2021-11-15T00:00:00"/>
    <n v="76000"/>
    <n v="220"/>
    <n v="5"/>
    <n v="38"/>
    <s v="Yes"/>
    <x v="1"/>
    <s v="Excellent"/>
  </r>
  <r>
    <s v="HR"/>
    <n v="41"/>
    <s v="Female"/>
    <x v="6"/>
    <d v="2022-07-01T00:00:00"/>
    <n v="66000"/>
    <n v="234"/>
    <n v="4"/>
    <n v="12"/>
    <s v="No"/>
    <x v="0"/>
    <s v="Good"/>
  </r>
  <r>
    <s v="Customer Support"/>
    <n v="37"/>
    <s v="Female"/>
    <x v="1"/>
    <d v="2025-09-25T00:00:00"/>
    <n v="30000"/>
    <n v="246"/>
    <n v="1"/>
    <n v="22"/>
    <s v="No"/>
    <x v="0"/>
    <s v="Poor"/>
  </r>
  <r>
    <s v="IT"/>
    <n v="54"/>
    <s v="Male"/>
    <x v="6"/>
    <d v="2023-09-17T00:00:00"/>
    <n v="84000"/>
    <n v="216"/>
    <n v="4"/>
    <n v="23"/>
    <s v="No"/>
    <x v="1"/>
    <s v="Good"/>
  </r>
  <r>
    <s v="HR"/>
    <n v="49"/>
    <s v="Female"/>
    <x v="1"/>
    <d v="2025-11-27T00:00:00"/>
    <n v="64000"/>
    <n v="240"/>
    <n v="4"/>
    <n v="27"/>
    <s v="No"/>
    <x v="0"/>
    <s v="Good"/>
  </r>
  <r>
    <s v="Finance"/>
    <n v="37"/>
    <s v="Female"/>
    <x v="1"/>
    <d v="2024-01-21T00:00:00"/>
    <n v="58000"/>
    <n v="239"/>
    <n v="5"/>
    <n v="39"/>
    <s v="No"/>
    <x v="0"/>
    <s v="Excellent"/>
  </r>
  <r>
    <s v="Marketing"/>
    <n v="42"/>
    <s v="Female"/>
    <x v="2"/>
    <d v="2021-05-18T00:00:00"/>
    <n v="58000"/>
    <n v="226"/>
    <n v="3"/>
    <n v="17"/>
    <s v="Yes"/>
    <x v="0"/>
    <s v="Average"/>
  </r>
  <r>
    <s v="Finance"/>
    <n v="57"/>
    <s v="Female"/>
    <x v="0"/>
    <d v="2019-12-17T00:00:00"/>
    <n v="58000"/>
    <n v="236"/>
    <n v="4"/>
    <n v="35"/>
    <s v="No"/>
    <x v="1"/>
    <s v="Good"/>
  </r>
  <r>
    <s v="Customer Support"/>
    <n v="53"/>
    <s v="Male"/>
    <x v="6"/>
    <d v="2020-01-17T00:00:00"/>
    <n v="41000"/>
    <n v="224"/>
    <n v="4"/>
    <n v="15"/>
    <s v="No"/>
    <x v="1"/>
    <s v="Good"/>
  </r>
  <r>
    <s v="Marketing"/>
    <n v="57"/>
    <s v="Male"/>
    <x v="5"/>
    <d v="2025-03-04T00:00:00"/>
    <n v="57000"/>
    <n v="232"/>
    <n v="4"/>
    <n v="17"/>
    <s v="No"/>
    <x v="1"/>
    <s v="Good"/>
  </r>
  <r>
    <s v="Customer Support"/>
    <n v="34"/>
    <s v="Male"/>
    <x v="3"/>
    <d v="2025-01-03T00:00:00"/>
    <n v="34000"/>
    <n v="222"/>
    <n v="2"/>
    <n v="30"/>
    <s v="No"/>
    <x v="0"/>
    <s v="Poor"/>
  </r>
  <r>
    <s v="Operations"/>
    <n v="40"/>
    <s v="Female"/>
    <x v="0"/>
    <d v="2022-04-28T00:00:00"/>
    <n v="47000"/>
    <n v="233"/>
    <n v="2"/>
    <n v="19"/>
    <s v="No"/>
    <x v="0"/>
    <s v="Poor"/>
  </r>
  <r>
    <s v="Finance"/>
    <n v="24"/>
    <s v="Female"/>
    <x v="1"/>
    <d v="2020-06-01T00:00:00"/>
    <n v="74000"/>
    <n v="216"/>
    <n v="1"/>
    <n v="36"/>
    <s v="No"/>
    <x v="0"/>
    <s v="Poor"/>
  </r>
  <r>
    <s v="Finance"/>
    <n v="33"/>
    <s v="Female"/>
    <x v="1"/>
    <d v="2024-05-10T00:00:00"/>
    <n v="50000"/>
    <n v="214"/>
    <n v="4"/>
    <n v="31"/>
    <s v="No"/>
    <x v="0"/>
    <s v="Good"/>
  </r>
  <r>
    <s v="IT"/>
    <n v="31"/>
    <s v="Female"/>
    <x v="1"/>
    <d v="2019-12-15T00:00:00"/>
    <n v="68000"/>
    <n v="217"/>
    <n v="5"/>
    <n v="26"/>
    <s v="No"/>
    <x v="0"/>
    <s v="Excellent"/>
  </r>
  <r>
    <s v="Operations"/>
    <n v="46"/>
    <s v="Male"/>
    <x v="2"/>
    <d v="2022-05-02T00:00:00"/>
    <n v="70000"/>
    <n v="237"/>
    <n v="3"/>
    <n v="36"/>
    <s v="No"/>
    <x v="0"/>
    <s v="Average"/>
  </r>
  <r>
    <s v="IT"/>
    <n v="35"/>
    <s v="Female"/>
    <x v="1"/>
    <d v="2019-11-29T00:00:00"/>
    <n v="63000"/>
    <n v="225"/>
    <n v="2"/>
    <n v="35"/>
    <s v="No"/>
    <x v="0"/>
    <s v="Poor"/>
  </r>
  <r>
    <s v="Marketing"/>
    <n v="52"/>
    <s v="Male"/>
    <x v="6"/>
    <d v="2021-08-06T00:00:00"/>
    <n v="54000"/>
    <n v="228"/>
    <n v="4"/>
    <n v="4"/>
    <s v="No"/>
    <x v="1"/>
    <s v="Good"/>
  </r>
  <r>
    <s v="Customer Support"/>
    <n v="34"/>
    <s v="Male"/>
    <x v="3"/>
    <d v="2025-02-08T00:00:00"/>
    <n v="37000"/>
    <n v="219"/>
    <n v="3"/>
    <n v="9"/>
    <s v="No"/>
    <x v="0"/>
    <s v="Average"/>
  </r>
  <r>
    <s v="Finance"/>
    <n v="58"/>
    <s v="Male"/>
    <x v="2"/>
    <d v="2020-05-24T00:00:00"/>
    <n v="72000"/>
    <n v="229"/>
    <n v="4"/>
    <n v="17"/>
    <s v="No"/>
    <x v="1"/>
    <s v="Good"/>
  </r>
  <r>
    <s v="IT"/>
    <n v="24"/>
    <s v="Male"/>
    <x v="4"/>
    <d v="2025-10-08T00:00:00"/>
    <n v="69000"/>
    <n v="211"/>
    <n v="1"/>
    <n v="14"/>
    <s v="Yes"/>
    <x v="0"/>
    <s v="Poor"/>
  </r>
  <r>
    <s v="IT"/>
    <n v="39"/>
    <s v="Female"/>
    <x v="7"/>
    <d v="2024-04-11T00:00:00"/>
    <n v="86000"/>
    <n v="238"/>
    <n v="3"/>
    <n v="11"/>
    <s v="Yes"/>
    <x v="0"/>
    <s v="Average"/>
  </r>
  <r>
    <s v="Marketing"/>
    <n v="27"/>
    <s v="Male"/>
    <x v="4"/>
    <d v="2023-07-31T00:00:00"/>
    <n v="57000"/>
    <n v="230"/>
    <n v="1"/>
    <n v="10"/>
    <s v="No"/>
    <x v="0"/>
    <s v="Poor"/>
  </r>
  <r>
    <s v="Finance"/>
    <n v="47"/>
    <s v="Female"/>
    <x v="2"/>
    <d v="2019-12-27T00:00:00"/>
    <n v="63000"/>
    <n v="226"/>
    <n v="3"/>
    <n v="7"/>
    <s v="Yes"/>
    <x v="0"/>
    <s v="Average"/>
  </r>
  <r>
    <s v="Operations"/>
    <n v="22"/>
    <s v="Male"/>
    <x v="5"/>
    <d v="2019-08-11T00:00:00"/>
    <n v="45000"/>
    <n v="243"/>
    <n v="3"/>
    <n v="39"/>
    <s v="No"/>
    <x v="0"/>
    <s v="Average"/>
  </r>
  <r>
    <s v="IT"/>
    <n v="35"/>
    <s v="Male"/>
    <x v="7"/>
    <d v="2022-03-25T00:00:00"/>
    <n v="81000"/>
    <n v="241"/>
    <n v="1"/>
    <n v="1"/>
    <s v="Yes"/>
    <x v="0"/>
    <s v="Poor"/>
  </r>
  <r>
    <s v="HR"/>
    <n v="32"/>
    <s v="Male"/>
    <x v="6"/>
    <d v="2025-03-12T00:00:00"/>
    <n v="56000"/>
    <n v="215"/>
    <n v="2"/>
    <n v="7"/>
    <s v="No"/>
    <x v="0"/>
    <s v="Poor"/>
  </r>
  <r>
    <s v="HR"/>
    <n v="53"/>
    <s v="Male"/>
    <x v="1"/>
    <d v="2023-08-29T00:00:00"/>
    <n v="60000"/>
    <n v="240"/>
    <n v="2"/>
    <n v="29"/>
    <s v="No"/>
    <x v="1"/>
    <s v="Poor"/>
  </r>
  <r>
    <s v="Operations"/>
    <n v="54"/>
    <s v="Female"/>
    <x v="3"/>
    <d v="2022-02-05T00:00:00"/>
    <n v="59000"/>
    <n v="231"/>
    <n v="5"/>
    <n v="17"/>
    <s v="No"/>
    <x v="1"/>
    <s v="Excellent"/>
  </r>
  <r>
    <s v="Finance"/>
    <n v="53"/>
    <s v="Female"/>
    <x v="2"/>
    <d v="2025-01-15T00:00:00"/>
    <n v="73000"/>
    <n v="232"/>
    <n v="3"/>
    <n v="35"/>
    <s v="No"/>
    <x v="1"/>
    <s v="Average"/>
  </r>
  <r>
    <s v="Finance"/>
    <n v="34"/>
    <s v="Female"/>
    <x v="5"/>
    <d v="2021-08-14T00:00:00"/>
    <n v="69000"/>
    <n v="212"/>
    <n v="3"/>
    <n v="30"/>
    <s v="No"/>
    <x v="0"/>
    <s v="Average"/>
  </r>
  <r>
    <s v="Customer Support"/>
    <n v="31"/>
    <s v="Male"/>
    <x v="6"/>
    <d v="2020-06-01T00:00:00"/>
    <n v="55000"/>
    <n v="247"/>
    <n v="3"/>
    <n v="6"/>
    <s v="Yes"/>
    <x v="0"/>
    <s v="Average"/>
  </r>
  <r>
    <s v="Operations"/>
    <n v="51"/>
    <s v="Female"/>
    <x v="7"/>
    <d v="2023-08-07T00:00:00"/>
    <n v="42000"/>
    <n v="214"/>
    <n v="4"/>
    <n v="16"/>
    <s v="No"/>
    <x v="1"/>
    <s v="Good"/>
  </r>
  <r>
    <s v="Customer Support"/>
    <n v="27"/>
    <s v="Male"/>
    <x v="5"/>
    <d v="2022-07-21T00:00:00"/>
    <n v="54000"/>
    <n v="244"/>
    <n v="1"/>
    <n v="39"/>
    <s v="No"/>
    <x v="0"/>
    <s v="Poor"/>
  </r>
  <r>
    <s v="Finance"/>
    <n v="36"/>
    <s v="Female"/>
    <x v="5"/>
    <d v="2020-02-08T00:00:00"/>
    <n v="49000"/>
    <n v="238"/>
    <n v="2"/>
    <n v="19"/>
    <s v="Yes"/>
    <x v="0"/>
    <s v="Poor"/>
  </r>
  <r>
    <s v="IT"/>
    <n v="40"/>
    <s v="Male"/>
    <x v="4"/>
    <d v="2023-10-31T00:00:00"/>
    <n v="62000"/>
    <n v="225"/>
    <n v="5"/>
    <n v="26"/>
    <s v="No"/>
    <x v="0"/>
    <s v="Excellent"/>
  </r>
  <r>
    <s v="HR"/>
    <n v="27"/>
    <s v="Male"/>
    <x v="0"/>
    <d v="2024-07-31T00:00:00"/>
    <n v="67000"/>
    <n v="219"/>
    <n v="2"/>
    <n v="29"/>
    <s v="No"/>
    <x v="0"/>
    <s v="Poor"/>
  </r>
  <r>
    <s v="Customer Support"/>
    <n v="22"/>
    <s v="Male"/>
    <x v="1"/>
    <d v="2025-02-16T00:00:00"/>
    <n v="33000"/>
    <n v="214"/>
    <n v="4"/>
    <n v="22"/>
    <s v="Yes"/>
    <x v="0"/>
    <s v="Good"/>
  </r>
  <r>
    <s v="Marketing"/>
    <n v="38"/>
    <s v="Male"/>
    <x v="1"/>
    <d v="2021-03-26T00:00:00"/>
    <n v="60000"/>
    <n v="240"/>
    <n v="1"/>
    <n v="15"/>
    <s v="No"/>
    <x v="0"/>
    <s v="Poor"/>
  </r>
  <r>
    <s v="Finance"/>
    <n v="40"/>
    <s v="Female"/>
    <x v="5"/>
    <d v="2022-01-29T00:00:00"/>
    <n v="43000"/>
    <n v="246"/>
    <n v="1"/>
    <n v="38"/>
    <s v="No"/>
    <x v="0"/>
    <s v="Poor"/>
  </r>
  <r>
    <s v="HR"/>
    <n v="44"/>
    <s v="Female"/>
    <x v="0"/>
    <d v="2025-12-18T00:00:00"/>
    <n v="46000"/>
    <n v="218"/>
    <n v="1"/>
    <n v="40"/>
    <s v="No"/>
    <x v="0"/>
    <s v="Poor"/>
  </r>
  <r>
    <s v="Marketing"/>
    <n v="24"/>
    <s v="Male"/>
    <x v="7"/>
    <d v="2020-01-05T00:00:00"/>
    <n v="54000"/>
    <n v="230"/>
    <n v="4"/>
    <n v="11"/>
    <s v="No"/>
    <x v="0"/>
    <s v="Good"/>
  </r>
  <r>
    <s v="Finance"/>
    <n v="55"/>
    <s v="Male"/>
    <x v="7"/>
    <d v="2021-11-18T00:00:00"/>
    <n v="73000"/>
    <n v="228"/>
    <n v="3"/>
    <n v="7"/>
    <s v="No"/>
    <x v="1"/>
    <s v="Average"/>
  </r>
  <r>
    <s v="HR"/>
    <n v="47"/>
    <s v="Male"/>
    <x v="3"/>
    <d v="2023-06-05T00:00:00"/>
    <n v="30000"/>
    <n v="226"/>
    <n v="5"/>
    <n v="7"/>
    <s v="No"/>
    <x v="0"/>
    <s v="Excellent"/>
  </r>
  <r>
    <s v="Customer Support"/>
    <n v="38"/>
    <s v="Male"/>
    <x v="4"/>
    <d v="2020-03-19T00:00:00"/>
    <n v="37000"/>
    <n v="240"/>
    <n v="1"/>
    <n v="39"/>
    <s v="Yes"/>
    <x v="0"/>
    <s v="Poor"/>
  </r>
  <r>
    <s v="Operations"/>
    <n v="36"/>
    <s v="Female"/>
    <x v="2"/>
    <d v="2022-05-22T00:00:00"/>
    <n v="59000"/>
    <n v="217"/>
    <n v="2"/>
    <n v="2"/>
    <s v="Yes"/>
    <x v="0"/>
    <s v="Po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255B82-6A19-4D51-B9FD-7DFFA1904702}"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mployee type">
  <location ref="D16:E19" firstHeaderRow="1" firstDataRow="1" firstDataCol="1"/>
  <pivotFields count="12">
    <pivotField showAll="0"/>
    <pivotField showAll="0"/>
    <pivotField showAll="0"/>
    <pivotField showAll="0"/>
    <pivotField numFmtId="165" showAll="0"/>
    <pivotField dataField="1" numFmtId="166" showAll="0"/>
    <pivotField showAll="0"/>
    <pivotField showAll="0"/>
    <pivotField showAll="0"/>
    <pivotField showAll="0"/>
    <pivotField axis="axisRow" showAll="0">
      <items count="3">
        <item x="0"/>
        <item x="1"/>
        <item t="default"/>
      </items>
    </pivotField>
    <pivotField showAll="0"/>
  </pivotFields>
  <rowFields count="1">
    <field x="10"/>
  </rowFields>
  <rowItems count="3">
    <i>
      <x/>
    </i>
    <i>
      <x v="1"/>
    </i>
    <i t="grand">
      <x/>
    </i>
  </rowItems>
  <colItems count="1">
    <i/>
  </colItems>
  <dataFields count="1">
    <dataField name="Sum of AnnualSalary_INR" fld="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0352E7-F776-496E-B563-1A42BD00876E}"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ies">
  <location ref="A16:B25" firstHeaderRow="1" firstDataRow="1" firstDataCol="1"/>
  <pivotFields count="12">
    <pivotField showAll="0"/>
    <pivotField showAll="0"/>
    <pivotField showAll="0"/>
    <pivotField axis="axisRow" showAll="0">
      <items count="9">
        <item x="2"/>
        <item x="7"/>
        <item x="1"/>
        <item x="4"/>
        <item x="0"/>
        <item x="6"/>
        <item x="5"/>
        <item x="3"/>
        <item t="default"/>
      </items>
    </pivotField>
    <pivotField numFmtId="165" showAll="0"/>
    <pivotField dataField="1" numFmtId="166"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AnnualSalary_INR" fld="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D99366-5A28-4CF5-9FFB-BC4BF0DB3570}"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colHeaderCaption="cities">
  <location ref="A10:J14" firstHeaderRow="1" firstDataRow="2" firstDataCol="1"/>
  <pivotFields count="14">
    <pivotField showAll="0"/>
    <pivotField showAll="0"/>
    <pivotField showAll="0"/>
    <pivotField showAll="0"/>
    <pivotField axis="axisRow" showAll="0">
      <items count="3">
        <item x="0"/>
        <item x="1"/>
        <item t="default"/>
      </items>
    </pivotField>
    <pivotField axis="axisCol" showAll="0">
      <items count="9">
        <item x="2"/>
        <item x="7"/>
        <item x="1"/>
        <item x="4"/>
        <item x="0"/>
        <item x="6"/>
        <item x="5"/>
        <item x="3"/>
        <item t="default"/>
      </items>
    </pivotField>
    <pivotField numFmtId="165" showAll="0"/>
    <pivotField numFmtId="166" showAll="0"/>
    <pivotField showAll="0"/>
    <pivotField dataField="1" showAll="0"/>
    <pivotField showAll="0"/>
    <pivotField showAll="0"/>
    <pivotField showAll="0"/>
    <pivotField showAll="0"/>
  </pivotFields>
  <rowFields count="1">
    <field x="4"/>
  </rowFields>
  <rowItems count="3">
    <i>
      <x/>
    </i>
    <i>
      <x v="1"/>
    </i>
    <i t="grand">
      <x/>
    </i>
  </rowItems>
  <colFields count="1">
    <field x="5"/>
  </colFields>
  <colItems count="9">
    <i>
      <x/>
    </i>
    <i>
      <x v="1"/>
    </i>
    <i>
      <x v="2"/>
    </i>
    <i>
      <x v="3"/>
    </i>
    <i>
      <x v="4"/>
    </i>
    <i>
      <x v="5"/>
    </i>
    <i>
      <x v="6"/>
    </i>
    <i>
      <x v="7"/>
    </i>
    <i t="grand">
      <x/>
    </i>
  </colItems>
  <dataFields count="1">
    <dataField name="Sum of PerformanceRating2" fld="9" baseField="0" baseItem="0"/>
  </dataFields>
  <chartFormats count="9">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0"/>
          </reference>
          <reference field="5" count="1" selected="0">
            <x v="2"/>
          </reference>
        </references>
      </pivotArea>
    </chartFormat>
    <chartFormat chart="0" format="4" series="1">
      <pivotArea type="data" outline="0" fieldPosition="0">
        <references count="2">
          <reference field="4294967294" count="1" selected="0">
            <x v="0"/>
          </reference>
          <reference field="5" count="1" selected="0">
            <x v="3"/>
          </reference>
        </references>
      </pivotArea>
    </chartFormat>
    <chartFormat chart="0" format="5" series="1">
      <pivotArea type="data" outline="0" fieldPosition="0">
        <references count="2">
          <reference field="4294967294" count="1" selected="0">
            <x v="0"/>
          </reference>
          <reference field="5" count="1" selected="0">
            <x v="4"/>
          </reference>
        </references>
      </pivotArea>
    </chartFormat>
    <chartFormat chart="0" format="6" series="1">
      <pivotArea type="data" outline="0" fieldPosition="0">
        <references count="2">
          <reference field="4294967294" count="1" selected="0">
            <x v="0"/>
          </reference>
          <reference field="5" count="1" selected="0">
            <x v="5"/>
          </reference>
        </references>
      </pivotArea>
    </chartFormat>
    <chartFormat chart="0" format="7" series="1">
      <pivotArea type="data" outline="0" fieldPosition="0">
        <references count="2">
          <reference field="4294967294" count="1" selected="0">
            <x v="0"/>
          </reference>
          <reference field="5" count="1" selected="0">
            <x v="6"/>
          </reference>
        </references>
      </pivotArea>
    </chartFormat>
    <chartFormat chart="0" format="8" series="1">
      <pivotArea type="data" outline="0" fieldPosition="0">
        <references count="2">
          <reference field="4294967294" count="1" selected="0">
            <x v="0"/>
          </reference>
          <reference field="5" count="1" selected="0">
            <x v="7"/>
          </reference>
        </references>
      </pivotArea>
    </chartFormat>
    <chartFormat chart="0" format="9" series="1">
      <pivotArea type="data" outline="0" fieldPosition="0">
        <references count="2">
          <reference field="4294967294" count="1" selected="0">
            <x v="0"/>
          </reference>
          <reference field="5"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EA0C11-52BC-40DB-B33B-12D8C6D1F8B2}"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D1:E4" firstHeaderRow="1" firstDataRow="1" firstDataCol="1"/>
  <pivotFields count="14">
    <pivotField showAll="0"/>
    <pivotField showAll="0"/>
    <pivotField showAll="0"/>
    <pivotField showAll="0"/>
    <pivotField axis="axisRow" showAll="0">
      <items count="3">
        <item x="0"/>
        <item x="1"/>
        <item t="default"/>
      </items>
    </pivotField>
    <pivotField showAll="0">
      <items count="9">
        <item h="1" x="2"/>
        <item x="7"/>
        <item h="1" x="1"/>
        <item h="1" x="4"/>
        <item h="1" x="0"/>
        <item h="1" x="6"/>
        <item h="1" x="5"/>
        <item h="1" x="3"/>
        <item t="default"/>
      </items>
    </pivotField>
    <pivotField numFmtId="165" showAll="0"/>
    <pivotField dataField="1" numFmtId="166"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AnnualSalary_INR" fld="7"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FB62A2-BB78-4F75-B0B4-A0486697EE6B}"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s">
  <location ref="A1:B8" firstHeaderRow="1" firstDataRow="1" firstDataCol="1"/>
  <pivotFields count="14">
    <pivotField showAll="0"/>
    <pivotField showAll="0"/>
    <pivotField axis="axisRow" showAll="0">
      <items count="7">
        <item x="5"/>
        <item x="2"/>
        <item x="1"/>
        <item x="0"/>
        <item x="3"/>
        <item x="4"/>
        <item t="default"/>
      </items>
    </pivotField>
    <pivotField showAll="0">
      <items count="36">
        <item x="10"/>
        <item x="13"/>
        <item x="20"/>
        <item x="14"/>
        <item x="17"/>
        <item x="16"/>
        <item x="8"/>
        <item x="32"/>
        <item x="6"/>
        <item x="24"/>
        <item x="26"/>
        <item x="22"/>
        <item x="1"/>
        <item x="29"/>
        <item x="3"/>
        <item x="0"/>
        <item x="31"/>
        <item x="21"/>
        <item x="27"/>
        <item x="25"/>
        <item x="23"/>
        <item x="5"/>
        <item x="18"/>
        <item x="7"/>
        <item x="15"/>
        <item x="2"/>
        <item x="28"/>
        <item x="9"/>
        <item x="33"/>
        <item x="11"/>
        <item x="19"/>
        <item x="34"/>
        <item x="12"/>
        <item x="30"/>
        <item x="4"/>
        <item t="default"/>
      </items>
    </pivotField>
    <pivotField showAll="0"/>
    <pivotField showAll="0"/>
    <pivotField numFmtId="165" showAll="0"/>
    <pivotField dataField="1" numFmtId="166" showAll="0">
      <items count="53">
        <item x="30"/>
        <item x="36"/>
        <item x="17"/>
        <item x="39"/>
        <item x="50"/>
        <item x="40"/>
        <item x="33"/>
        <item x="21"/>
        <item x="9"/>
        <item x="12"/>
        <item x="24"/>
        <item x="49"/>
        <item x="2"/>
        <item x="28"/>
        <item x="46"/>
        <item x="51"/>
        <item x="15"/>
        <item x="5"/>
        <item x="3"/>
        <item x="26"/>
        <item x="14"/>
        <item x="43"/>
        <item x="34"/>
        <item x="1"/>
        <item x="4"/>
        <item x="18"/>
        <item x="0"/>
        <item x="35"/>
        <item x="32"/>
        <item x="16"/>
        <item x="8"/>
        <item x="6"/>
        <item x="37"/>
        <item x="10"/>
        <item x="42"/>
        <item x="22"/>
        <item x="27"/>
        <item x="44"/>
        <item x="48"/>
        <item x="41"/>
        <item x="23"/>
        <item x="38"/>
        <item x="29"/>
        <item x="7"/>
        <item x="20"/>
        <item x="47"/>
        <item x="31"/>
        <item x="13"/>
        <item x="19"/>
        <item x="11"/>
        <item x="45"/>
        <item x="25"/>
        <item t="default"/>
      </items>
    </pivotField>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AnnualSalary_INR" fld="7" baseField="0" baseItem="0" numFmtId="166"/>
  </dataFields>
  <chartFormats count="1">
    <chartFormat chart="0" format="5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21FA9A-5AB3-45BF-A019-00EF38002EC0}"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s">
  <location ref="A3:B10" firstHeaderRow="1" firstDataRow="1" firstDataCol="1"/>
  <pivotFields count="14">
    <pivotField showAll="0"/>
    <pivotField showAll="0"/>
    <pivotField axis="axisRow" showAll="0">
      <items count="7">
        <item x="5"/>
        <item x="2"/>
        <item x="1"/>
        <item x="0"/>
        <item x="3"/>
        <item x="4"/>
        <item t="default"/>
      </items>
    </pivotField>
    <pivotField showAll="0">
      <items count="36">
        <item x="10"/>
        <item x="13"/>
        <item x="20"/>
        <item x="14"/>
        <item x="17"/>
        <item x="16"/>
        <item x="8"/>
        <item x="32"/>
        <item x="6"/>
        <item x="24"/>
        <item x="26"/>
        <item x="22"/>
        <item x="1"/>
        <item x="29"/>
        <item x="3"/>
        <item x="0"/>
        <item x="31"/>
        <item x="21"/>
        <item x="27"/>
        <item x="25"/>
        <item x="23"/>
        <item x="5"/>
        <item x="18"/>
        <item x="7"/>
        <item x="15"/>
        <item x="2"/>
        <item x="28"/>
        <item x="9"/>
        <item x="33"/>
        <item x="11"/>
        <item x="19"/>
        <item x="34"/>
        <item x="12"/>
        <item x="30"/>
        <item x="4"/>
        <item t="default"/>
      </items>
    </pivotField>
    <pivotField showAll="0"/>
    <pivotField showAll="0"/>
    <pivotField numFmtId="165" showAll="0"/>
    <pivotField dataField="1" numFmtId="166" showAll="0">
      <items count="53">
        <item x="30"/>
        <item x="36"/>
        <item x="17"/>
        <item x="39"/>
        <item x="50"/>
        <item x="40"/>
        <item x="33"/>
        <item x="21"/>
        <item x="9"/>
        <item x="12"/>
        <item x="24"/>
        <item x="49"/>
        <item x="2"/>
        <item x="28"/>
        <item x="46"/>
        <item x="51"/>
        <item x="15"/>
        <item x="5"/>
        <item x="3"/>
        <item x="26"/>
        <item x="14"/>
        <item x="43"/>
        <item x="34"/>
        <item x="1"/>
        <item x="4"/>
        <item x="18"/>
        <item x="0"/>
        <item x="35"/>
        <item x="32"/>
        <item x="16"/>
        <item x="8"/>
        <item x="6"/>
        <item x="37"/>
        <item x="10"/>
        <item x="42"/>
        <item x="22"/>
        <item x="27"/>
        <item x="44"/>
        <item x="48"/>
        <item x="41"/>
        <item x="23"/>
        <item x="38"/>
        <item x="29"/>
        <item x="7"/>
        <item x="20"/>
        <item x="47"/>
        <item x="31"/>
        <item x="13"/>
        <item x="19"/>
        <item x="11"/>
        <item x="45"/>
        <item x="25"/>
        <item t="default"/>
      </items>
    </pivotField>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AnnualSalary_INR" fld="7" baseField="0" baseItem="0" numFmtId="166"/>
  </dataFields>
  <chartFormats count="1">
    <chartFormat chart="0" format="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6AFF05-5F59-497E-93C5-C678D7417268}"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A3:B6" firstHeaderRow="1" firstDataRow="1" firstDataCol="1"/>
  <pivotFields count="14">
    <pivotField showAll="0"/>
    <pivotField showAll="0"/>
    <pivotField showAll="0"/>
    <pivotField showAll="0"/>
    <pivotField axis="axisRow" showAll="0">
      <items count="3">
        <item x="0"/>
        <item x="1"/>
        <item t="default"/>
      </items>
    </pivotField>
    <pivotField showAll="0">
      <items count="9">
        <item h="1" x="2"/>
        <item x="7"/>
        <item h="1" x="1"/>
        <item h="1" x="4"/>
        <item h="1" x="0"/>
        <item h="1" x="6"/>
        <item h="1" x="5"/>
        <item h="1" x="3"/>
        <item t="default"/>
      </items>
    </pivotField>
    <pivotField numFmtId="165" showAll="0"/>
    <pivotField dataField="1" numFmtId="166"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AnnualSalary_INR" fld="7"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BE806C-31A3-41D9-AFD7-647B0FCB019F}"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colHeaderCaption="cities">
  <location ref="A3:J7" firstHeaderRow="1" firstDataRow="2" firstDataCol="1"/>
  <pivotFields count="14">
    <pivotField showAll="0"/>
    <pivotField showAll="0"/>
    <pivotField showAll="0"/>
    <pivotField showAll="0"/>
    <pivotField axis="axisRow" showAll="0">
      <items count="3">
        <item x="0"/>
        <item x="1"/>
        <item t="default"/>
      </items>
    </pivotField>
    <pivotField axis="axisCol" showAll="0">
      <items count="9">
        <item x="2"/>
        <item x="7"/>
        <item x="1"/>
        <item x="4"/>
        <item x="0"/>
        <item x="6"/>
        <item x="5"/>
        <item x="3"/>
        <item t="default"/>
      </items>
    </pivotField>
    <pivotField numFmtId="165" showAll="0"/>
    <pivotField numFmtId="166" showAll="0"/>
    <pivotField showAll="0"/>
    <pivotField dataField="1" showAll="0"/>
    <pivotField showAll="0"/>
    <pivotField showAll="0"/>
    <pivotField showAll="0"/>
    <pivotField showAll="0"/>
  </pivotFields>
  <rowFields count="1">
    <field x="4"/>
  </rowFields>
  <rowItems count="3">
    <i>
      <x/>
    </i>
    <i>
      <x v="1"/>
    </i>
    <i t="grand">
      <x/>
    </i>
  </rowItems>
  <colFields count="1">
    <field x="5"/>
  </colFields>
  <colItems count="9">
    <i>
      <x/>
    </i>
    <i>
      <x v="1"/>
    </i>
    <i>
      <x v="2"/>
    </i>
    <i>
      <x v="3"/>
    </i>
    <i>
      <x v="4"/>
    </i>
    <i>
      <x v="5"/>
    </i>
    <i>
      <x v="6"/>
    </i>
    <i>
      <x v="7"/>
    </i>
    <i t="grand">
      <x/>
    </i>
  </colItems>
  <dataFields count="1">
    <dataField name="Sum of PerformanceRating2" fld="9" baseField="0" baseItem="0"/>
  </dataFields>
  <chartFormats count="9">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0"/>
          </reference>
          <reference field="5" count="1" selected="0">
            <x v="2"/>
          </reference>
        </references>
      </pivotArea>
    </chartFormat>
    <chartFormat chart="0" format="4" series="1">
      <pivotArea type="data" outline="0" fieldPosition="0">
        <references count="2">
          <reference field="4294967294" count="1" selected="0">
            <x v="0"/>
          </reference>
          <reference field="5" count="1" selected="0">
            <x v="3"/>
          </reference>
        </references>
      </pivotArea>
    </chartFormat>
    <chartFormat chart="0" format="5" series="1">
      <pivotArea type="data" outline="0" fieldPosition="0">
        <references count="2">
          <reference field="4294967294" count="1" selected="0">
            <x v="0"/>
          </reference>
          <reference field="5" count="1" selected="0">
            <x v="4"/>
          </reference>
        </references>
      </pivotArea>
    </chartFormat>
    <chartFormat chart="0" format="6" series="1">
      <pivotArea type="data" outline="0" fieldPosition="0">
        <references count="2">
          <reference field="4294967294" count="1" selected="0">
            <x v="0"/>
          </reference>
          <reference field="5" count="1" selected="0">
            <x v="5"/>
          </reference>
        </references>
      </pivotArea>
    </chartFormat>
    <chartFormat chart="0" format="7" series="1">
      <pivotArea type="data" outline="0" fieldPosition="0">
        <references count="2">
          <reference field="4294967294" count="1" selected="0">
            <x v="0"/>
          </reference>
          <reference field="5" count="1" selected="0">
            <x v="6"/>
          </reference>
        </references>
      </pivotArea>
    </chartFormat>
    <chartFormat chart="0" format="8" series="1">
      <pivotArea type="data" outline="0" fieldPosition="0">
        <references count="2">
          <reference field="4294967294" count="1" selected="0">
            <x v="0"/>
          </reference>
          <reference field="5" count="1" selected="0">
            <x v="7"/>
          </reference>
        </references>
      </pivotArea>
    </chartFormat>
    <chartFormat chart="0" format="9"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0AEA1D-EA44-4F1E-9A9E-D6D908C79761}"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ies">
  <location ref="A3:B12" firstHeaderRow="1" firstDataRow="1" firstDataCol="1"/>
  <pivotFields count="12">
    <pivotField showAll="0"/>
    <pivotField showAll="0"/>
    <pivotField showAll="0"/>
    <pivotField axis="axisRow" showAll="0">
      <items count="9">
        <item x="2"/>
        <item x="7"/>
        <item x="1"/>
        <item x="4"/>
        <item x="0"/>
        <item x="6"/>
        <item x="5"/>
        <item x="3"/>
        <item t="default"/>
      </items>
    </pivotField>
    <pivotField numFmtId="165" showAll="0"/>
    <pivotField dataField="1" numFmtId="166"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AnnualSalary_INR" fld="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2EF659-2EFD-44DD-A3B0-D8E2968E36FF}"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ies">
  <location ref="A3:B12" firstHeaderRow="1" firstDataRow="1" firstDataCol="1"/>
  <pivotFields count="12">
    <pivotField showAll="0"/>
    <pivotField showAll="0"/>
    <pivotField showAll="0"/>
    <pivotField axis="axisRow" showAll="0">
      <items count="9">
        <item x="2"/>
        <item x="7"/>
        <item x="1"/>
        <item x="4"/>
        <item x="0"/>
        <item x="6"/>
        <item x="5"/>
        <item x="3"/>
        <item t="default"/>
      </items>
    </pivotField>
    <pivotField numFmtId="165" showAll="0"/>
    <pivotField dataField="1" numFmtId="166"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AnnualSalary_INR" fld="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AE1365-F597-4A9B-9298-DC46BE22BFFD}"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mployee type">
  <location ref="A3:B6" firstHeaderRow="1" firstDataRow="1" firstDataCol="1"/>
  <pivotFields count="12">
    <pivotField showAll="0"/>
    <pivotField showAll="0"/>
    <pivotField showAll="0"/>
    <pivotField showAll="0"/>
    <pivotField numFmtId="165" showAll="0"/>
    <pivotField dataField="1" numFmtId="166" showAll="0"/>
    <pivotField showAll="0"/>
    <pivotField showAll="0"/>
    <pivotField showAll="0"/>
    <pivotField showAll="0"/>
    <pivotField axis="axisRow" showAll="0">
      <items count="3">
        <item x="0"/>
        <item x="1"/>
        <item t="default"/>
      </items>
    </pivotField>
    <pivotField showAll="0"/>
  </pivotFields>
  <rowFields count="1">
    <field x="10"/>
  </rowFields>
  <rowItems count="3">
    <i>
      <x/>
    </i>
    <i>
      <x v="1"/>
    </i>
    <i t="grand">
      <x/>
    </i>
  </rowItems>
  <colItems count="1">
    <i/>
  </colItems>
  <dataFields count="1">
    <dataField name="Sum of AnnualSalary_INR" fld="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6D2B1B-C1DB-45B9-A828-CD29F52F311C}" sourceName="Department">
  <pivotTables>
    <pivotTable tabId="5" name="PivotTable7"/>
    <pivotTable tabId="8" name="PivotTable1"/>
  </pivotTables>
  <data>
    <tabular pivotCacheId="1557817757">
      <items count="6">
        <i x="5" s="1"/>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EF8F81-AE0C-445A-AFDC-A11F7A680BF5}" sourceName="Gender">
  <pivotTables>
    <pivotTable tabId="5" name="PivotTable8"/>
    <pivotTable tabId="9" name="PivotTable2"/>
  </pivotTables>
  <data>
    <tabular pivotCacheId="155781775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26B3567-4732-421B-A16E-18EECE0786CA}" sourceName="City">
  <pivotTables>
    <pivotTable tabId="5" name="PivotTable9"/>
    <pivotTable tabId="10" name="PivotTable3"/>
  </pivotTables>
  <data>
    <tabular pivotCacheId="1557817757">
      <items count="8">
        <i x="2" s="1"/>
        <i x="7" s="1"/>
        <i x="1" s="1"/>
        <i x="4" s="1"/>
        <i x="0" s="1"/>
        <i x="6"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02755D8-6741-4835-A131-450290517DC8}" sourceName="City">
  <pivotTables>
    <pivotTable tabId="5" name="PivotTable10"/>
    <pivotTable tabId="11" name="PivotTable5"/>
    <pivotTable tabId="12" name="PivotTable12"/>
  </pivotTables>
  <data>
    <tabular pivotCacheId="1051067694">
      <items count="8">
        <i x="2" s="1"/>
        <i x="7" s="1"/>
        <i x="1" s="1"/>
        <i x="4" s="1"/>
        <i x="0" s="1"/>
        <i x="6"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87738C34-EFEF-4CDA-B6B8-E49EEEBF4689}" sourceName="employee type">
  <pivotTables>
    <pivotTable tabId="5" name="PivotTable11"/>
    <pivotTable tabId="13" name="PivotTable6"/>
  </pivotTables>
  <data>
    <tabular pivotCacheId="10510676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FBE8983-CEF1-4169-94B5-A30578A8135E}" cache="Slicer_Department" caption="Department" style="SlicerStyleDark2" rowHeight="241300"/>
  <slicer name="Gender" xr10:uid="{D9FE3971-F8C3-4636-BCE5-83119D2D825C}" cache="Slicer_Gender" caption="Gender" style="SlicerStyleDark4" rowHeight="241300"/>
  <slicer name="City" xr10:uid="{160D9934-7544-45BA-A786-4A749594B386}" cache="Slicer_City" caption="City" style="SlicerStyleDark6" rowHeight="241300"/>
  <slicer name="City 1" xr10:uid="{7E89C523-C6DA-4D37-9DFF-4BD91E6DD2A1}" cache="Slicer_City1" caption="City" style="SlicerStyleDark5" rowHeight="241300"/>
  <slicer name="employee type" xr10:uid="{EE10146F-2424-40DE-B2F4-FB3509895479}" cache="Slicer_employee_type" caption="employee typ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8DEA51-0A2C-4B01-AD7F-B7F81516734D}" name="Table1" displayName="Table1" ref="A1:N101" totalsRowShown="0" headerRowDxfId="2" headerRowBorderDxfId="5" tableBorderDxfId="6">
  <autoFilter ref="A1:N101" xr:uid="{00000000-0009-0000-0000-000000000000}"/>
  <tableColumns count="14">
    <tableColumn id="1" xr3:uid="{8004EBFD-728F-4258-9ED3-2B833B23B1BC}" name="EmployeeID"/>
    <tableColumn id="2" xr3:uid="{48D95E19-DE56-4BD3-99A3-D595FB549FE7}" name="EmployeeName"/>
    <tableColumn id="3" xr3:uid="{D3E6216C-811E-4462-BABF-F7EF875B1932}" name="Department"/>
    <tableColumn id="4" xr3:uid="{B10D7756-3478-4708-8509-994B6387D21E}" name="Age"/>
    <tableColumn id="5" xr3:uid="{DF3D5CB8-0230-409D-BFB7-EA7E2B5E960D}" name="Gender"/>
    <tableColumn id="6" xr3:uid="{F1C2CF20-5477-4A08-832F-225356208C9C}" name="City"/>
    <tableColumn id="7" xr3:uid="{D426697B-DFD3-445D-86C4-C23BC72D1A02}" name="JoinDate" dataDxfId="4"/>
    <tableColumn id="8" xr3:uid="{1DF01861-80DD-46D1-B933-C5E42BCEE92A}" name="AnnualSalary_INR" dataDxfId="3"/>
    <tableColumn id="9" xr3:uid="{E62C7860-8010-4ACC-A4E8-80F6D9A9B66A}" name="AttendanceDays"/>
    <tableColumn id="10" xr3:uid="{96194868-2390-4A19-B6D6-04803532C85F}" name="PerformanceRating"/>
    <tableColumn id="11" xr3:uid="{84B18876-1EB4-4B93-8C07-497C96536BA5}" name="TrainingHours"/>
    <tableColumn id="12" xr3:uid="{FC3B7660-E66E-4F57-BA80-2B7F091BA15B}" name="Attrition"/>
    <tableColumn id="13" xr3:uid="{0618FE42-4635-4055-864C-B91C2BE1233C}" name="employee type" dataDxfId="1">
      <calculatedColumnFormula>IF(Table1[[#This Row],[Age]]&lt;50,"junior",IF(Table1[[#This Row],[Age]]&gt;=50,"senior"))</calculatedColumnFormula>
    </tableColumn>
    <tableColumn id="14" xr3:uid="{BB0A2989-7756-498E-8806-FFFC7FA1F936}" name="performance category" dataDxfId="0">
      <calculatedColumnFormula>IF(J2=5,"Excellent",IF(J2=4,"Good",IF(J2=3,"Average","Poor")))</calculatedColumnFormula>
    </tableColumn>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A8C5A9-28B7-4369-AFE3-F376FB00A0DD}" name="Table2" displayName="Table2" ref="C3:D12" totalsRowShown="0">
  <autoFilter ref="C3:D12" xr:uid="{E1A8C5A9-28B7-4369-AFE3-F376FB00A0DD}"/>
  <tableColumns count="2">
    <tableColumn id="1" xr3:uid="{29FC3BAA-8E63-479F-B0D3-E08F284504B2}" name="KPI"/>
    <tableColumn id="2" xr3:uid="{9860F682-48AC-4621-B928-F92036312CD9}" name="valvu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topLeftCell="C1" workbookViewId="0">
      <pane ySplit="1" topLeftCell="A67" activePane="bottomLeft" state="frozen"/>
      <selection pane="bottomLeft" activeCell="P73" sqref="P73"/>
    </sheetView>
  </sheetViews>
  <sheetFormatPr defaultRowHeight="15" x14ac:dyDescent="0.25"/>
  <cols>
    <col min="1" max="1" width="16.28515625" bestFit="1" customWidth="1"/>
    <col min="2" max="2" width="19.85546875" bestFit="1" customWidth="1"/>
    <col min="3" max="3" width="17.28515625" bestFit="1" customWidth="1"/>
    <col min="4" max="4" width="9" bestFit="1" customWidth="1"/>
    <col min="5" max="5" width="12.28515625" bestFit="1" customWidth="1"/>
    <col min="6" max="6" width="12.7109375" bestFit="1" customWidth="1"/>
    <col min="7" max="7" width="13.28515625" bestFit="1" customWidth="1"/>
    <col min="8" max="8" width="21.42578125" bestFit="1" customWidth="1"/>
    <col min="9" max="9" width="20.140625" bestFit="1" customWidth="1"/>
    <col min="10" max="10" width="22.85546875" bestFit="1" customWidth="1"/>
    <col min="11" max="11" width="18" bestFit="1" customWidth="1"/>
    <col min="12" max="12" width="13.140625" bestFit="1" customWidth="1"/>
    <col min="13" max="13" width="18.7109375" bestFit="1" customWidth="1"/>
    <col min="14" max="14" width="29.7109375" bestFit="1" customWidth="1"/>
  </cols>
  <sheetData>
    <row r="1" spans="1:14" x14ac:dyDescent="0.25">
      <c r="A1" s="3" t="s">
        <v>0</v>
      </c>
      <c r="B1" s="3" t="s">
        <v>1</v>
      </c>
      <c r="C1" s="3" t="s">
        <v>2</v>
      </c>
      <c r="D1" s="3" t="s">
        <v>3</v>
      </c>
      <c r="E1" s="3" t="s">
        <v>4</v>
      </c>
      <c r="F1" s="3" t="s">
        <v>5</v>
      </c>
      <c r="G1" s="3" t="s">
        <v>6</v>
      </c>
      <c r="H1" s="3" t="s">
        <v>7</v>
      </c>
      <c r="I1" s="3" t="s">
        <v>8</v>
      </c>
      <c r="J1" s="3" t="s">
        <v>9</v>
      </c>
      <c r="K1" s="3" t="s">
        <v>10</v>
      </c>
      <c r="L1" s="3" t="s">
        <v>11</v>
      </c>
      <c r="M1" s="4" t="s">
        <v>217</v>
      </c>
      <c r="N1" s="4" t="s">
        <v>218</v>
      </c>
    </row>
    <row r="2" spans="1:14" x14ac:dyDescent="0.25">
      <c r="A2" t="s">
        <v>12</v>
      </c>
      <c r="B2" t="s">
        <v>13</v>
      </c>
      <c r="C2" t="s">
        <v>14</v>
      </c>
      <c r="D2">
        <v>39</v>
      </c>
      <c r="E2" t="s">
        <v>15</v>
      </c>
      <c r="F2" t="s">
        <v>16</v>
      </c>
      <c r="G2" s="1">
        <v>44037</v>
      </c>
      <c r="H2" s="2">
        <v>59000</v>
      </c>
      <c r="I2">
        <v>244</v>
      </c>
      <c r="J2">
        <v>1</v>
      </c>
      <c r="K2">
        <v>37</v>
      </c>
      <c r="L2" t="s">
        <v>17</v>
      </c>
      <c r="M2" t="str">
        <f>IF(Table1[[#This Row],[Age]]&lt;50,"junior",IF(Table1[[#This Row],[Age]]&gt;=50,"senior"))</f>
        <v>junior</v>
      </c>
      <c r="N2" t="str">
        <f t="shared" ref="N2:N33" si="0">IF(J2=5,"Excellent",IF(J2=4,"Good",IF(J2=3,"Average","Poor")))</f>
        <v>Poor</v>
      </c>
    </row>
    <row r="3" spans="1:14" x14ac:dyDescent="0.25">
      <c r="A3" t="s">
        <v>18</v>
      </c>
      <c r="B3" t="s">
        <v>19</v>
      </c>
      <c r="C3" t="s">
        <v>20</v>
      </c>
      <c r="D3">
        <v>36</v>
      </c>
      <c r="E3" t="s">
        <v>15</v>
      </c>
      <c r="F3" t="s">
        <v>16</v>
      </c>
      <c r="G3" s="1">
        <v>45698</v>
      </c>
      <c r="H3" s="2">
        <v>56000</v>
      </c>
      <c r="I3">
        <v>224</v>
      </c>
      <c r="J3">
        <v>4</v>
      </c>
      <c r="K3">
        <v>37</v>
      </c>
      <c r="L3" t="s">
        <v>17</v>
      </c>
      <c r="M3" t="str">
        <f>IF(Table1[[#This Row],[Age]]&lt;50,"junior",IF(Table1[[#This Row],[Age]]&gt;=50,"senior"))</f>
        <v>junior</v>
      </c>
      <c r="N3" t="str">
        <f t="shared" si="0"/>
        <v>Good</v>
      </c>
    </row>
    <row r="4" spans="1:14" x14ac:dyDescent="0.25">
      <c r="A4" t="s">
        <v>21</v>
      </c>
      <c r="B4" t="s">
        <v>22</v>
      </c>
      <c r="C4" t="s">
        <v>20</v>
      </c>
      <c r="D4">
        <v>49</v>
      </c>
      <c r="E4" t="s">
        <v>23</v>
      </c>
      <c r="F4" t="s">
        <v>24</v>
      </c>
      <c r="G4" s="1">
        <v>44102</v>
      </c>
      <c r="H4" s="2">
        <v>43000</v>
      </c>
      <c r="I4">
        <v>231</v>
      </c>
      <c r="J4">
        <v>1</v>
      </c>
      <c r="K4">
        <v>5</v>
      </c>
      <c r="L4" t="s">
        <v>17</v>
      </c>
      <c r="M4" t="str">
        <f>IF(Table1[[#This Row],[Age]]&lt;50,"junior",IF(Table1[[#This Row],[Age]]&gt;=50,"senior"))</f>
        <v>junior</v>
      </c>
      <c r="N4" t="str">
        <f t="shared" si="0"/>
        <v>Poor</v>
      </c>
    </row>
    <row r="5" spans="1:14" x14ac:dyDescent="0.25">
      <c r="A5" t="s">
        <v>25</v>
      </c>
      <c r="B5" t="s">
        <v>26</v>
      </c>
      <c r="C5" t="s">
        <v>27</v>
      </c>
      <c r="D5">
        <v>38</v>
      </c>
      <c r="E5" t="s">
        <v>15</v>
      </c>
      <c r="F5" t="s">
        <v>28</v>
      </c>
      <c r="G5" s="1">
        <v>45662</v>
      </c>
      <c r="H5" s="2">
        <v>50000</v>
      </c>
      <c r="I5">
        <v>234</v>
      </c>
      <c r="J5">
        <v>1</v>
      </c>
      <c r="K5">
        <v>35</v>
      </c>
      <c r="L5" t="s">
        <v>17</v>
      </c>
      <c r="M5" t="str">
        <f>IF(Table1[[#This Row],[Age]]&lt;50,"junior",IF(Table1[[#This Row],[Age]]&gt;=50,"senior"))</f>
        <v>junior</v>
      </c>
      <c r="N5" t="str">
        <f t="shared" si="0"/>
        <v>Poor</v>
      </c>
    </row>
    <row r="6" spans="1:14" x14ac:dyDescent="0.25">
      <c r="A6" t="s">
        <v>29</v>
      </c>
      <c r="B6" t="s">
        <v>30</v>
      </c>
      <c r="C6" t="s">
        <v>27</v>
      </c>
      <c r="D6">
        <v>58</v>
      </c>
      <c r="E6" t="s">
        <v>15</v>
      </c>
      <c r="F6" t="s">
        <v>31</v>
      </c>
      <c r="G6" s="1">
        <v>43653</v>
      </c>
      <c r="H6" s="2">
        <v>57000</v>
      </c>
      <c r="I6">
        <v>228</v>
      </c>
      <c r="J6">
        <v>1</v>
      </c>
      <c r="K6">
        <v>14</v>
      </c>
      <c r="L6" t="s">
        <v>32</v>
      </c>
      <c r="M6" t="str">
        <f>IF(Table1[[#This Row],[Age]]&lt;50,"junior",IF(Table1[[#This Row],[Age]]&gt;=50,"senior"))</f>
        <v>senior</v>
      </c>
      <c r="N6" t="str">
        <f t="shared" si="0"/>
        <v>Poor</v>
      </c>
    </row>
    <row r="7" spans="1:14" x14ac:dyDescent="0.25">
      <c r="A7" t="s">
        <v>33</v>
      </c>
      <c r="B7" t="s">
        <v>34</v>
      </c>
      <c r="C7" t="s">
        <v>35</v>
      </c>
      <c r="D7">
        <v>45</v>
      </c>
      <c r="E7" t="s">
        <v>15</v>
      </c>
      <c r="F7" t="s">
        <v>36</v>
      </c>
      <c r="G7" s="1">
        <v>44921</v>
      </c>
      <c r="H7" s="2">
        <v>49000</v>
      </c>
      <c r="I7">
        <v>227</v>
      </c>
      <c r="J7">
        <v>1</v>
      </c>
      <c r="K7">
        <v>38</v>
      </c>
      <c r="L7" t="s">
        <v>17</v>
      </c>
      <c r="M7" t="str">
        <f>IF(Table1[[#This Row],[Age]]&lt;50,"junior",IF(Table1[[#This Row],[Age]]&gt;=50,"senior"))</f>
        <v>junior</v>
      </c>
      <c r="N7" t="str">
        <f t="shared" si="0"/>
        <v>Poor</v>
      </c>
    </row>
    <row r="8" spans="1:14" x14ac:dyDescent="0.25">
      <c r="A8" t="s">
        <v>37</v>
      </c>
      <c r="B8" t="s">
        <v>38</v>
      </c>
      <c r="C8" t="s">
        <v>20</v>
      </c>
      <c r="D8">
        <v>32</v>
      </c>
      <c r="E8" t="s">
        <v>23</v>
      </c>
      <c r="F8" t="s">
        <v>39</v>
      </c>
      <c r="G8" s="1">
        <v>44571</v>
      </c>
      <c r="H8" s="2">
        <v>65000</v>
      </c>
      <c r="I8">
        <v>224</v>
      </c>
      <c r="J8">
        <v>3</v>
      </c>
      <c r="K8">
        <v>3</v>
      </c>
      <c r="L8" t="s">
        <v>17</v>
      </c>
      <c r="M8" t="str">
        <f>IF(Table1[[#This Row],[Age]]&lt;50,"junior",IF(Table1[[#This Row],[Age]]&gt;=50,"senior"))</f>
        <v>junior</v>
      </c>
      <c r="N8" t="str">
        <f t="shared" si="0"/>
        <v>Average</v>
      </c>
    </row>
    <row r="9" spans="1:14" x14ac:dyDescent="0.25">
      <c r="A9" t="s">
        <v>40</v>
      </c>
      <c r="B9" t="s">
        <v>41</v>
      </c>
      <c r="C9" t="s">
        <v>27</v>
      </c>
      <c r="D9">
        <v>47</v>
      </c>
      <c r="E9" t="s">
        <v>23</v>
      </c>
      <c r="F9" t="s">
        <v>31</v>
      </c>
      <c r="G9" s="1">
        <v>44330</v>
      </c>
      <c r="H9" s="2">
        <v>79000</v>
      </c>
      <c r="I9">
        <v>230</v>
      </c>
      <c r="J9">
        <v>2</v>
      </c>
      <c r="K9">
        <v>31</v>
      </c>
      <c r="L9" t="s">
        <v>17</v>
      </c>
      <c r="M9" t="str">
        <f>IF(Table1[[#This Row],[Age]]&lt;50,"junior",IF(Table1[[#This Row],[Age]]&gt;=50,"senior"))</f>
        <v>junior</v>
      </c>
      <c r="N9" t="str">
        <f t="shared" si="0"/>
        <v>Poor</v>
      </c>
    </row>
    <row r="10" spans="1:14" x14ac:dyDescent="0.25">
      <c r="A10" t="s">
        <v>42</v>
      </c>
      <c r="B10" t="s">
        <v>43</v>
      </c>
      <c r="C10" t="s">
        <v>20</v>
      </c>
      <c r="D10">
        <v>38</v>
      </c>
      <c r="E10" t="s">
        <v>15</v>
      </c>
      <c r="F10" t="s">
        <v>16</v>
      </c>
      <c r="G10" s="1">
        <v>45765</v>
      </c>
      <c r="H10" s="2">
        <v>64000</v>
      </c>
      <c r="I10">
        <v>226</v>
      </c>
      <c r="J10">
        <v>5</v>
      </c>
      <c r="K10">
        <v>27</v>
      </c>
      <c r="L10" t="s">
        <v>32</v>
      </c>
      <c r="M10" t="str">
        <f>IF(Table1[[#This Row],[Age]]&lt;50,"junior",IF(Table1[[#This Row],[Age]]&gt;=50,"senior"))</f>
        <v>junior</v>
      </c>
      <c r="N10" t="str">
        <f t="shared" si="0"/>
        <v>Excellent</v>
      </c>
    </row>
    <row r="11" spans="1:14" x14ac:dyDescent="0.25">
      <c r="A11" t="s">
        <v>44</v>
      </c>
      <c r="B11" t="s">
        <v>45</v>
      </c>
      <c r="C11" t="s">
        <v>20</v>
      </c>
      <c r="D11">
        <v>30</v>
      </c>
      <c r="E11" t="s">
        <v>23</v>
      </c>
      <c r="F11" t="s">
        <v>31</v>
      </c>
      <c r="G11" s="1">
        <v>43658</v>
      </c>
      <c r="H11" s="2">
        <v>37000</v>
      </c>
      <c r="I11">
        <v>219</v>
      </c>
      <c r="J11">
        <v>2</v>
      </c>
      <c r="K11">
        <v>27</v>
      </c>
      <c r="L11" t="s">
        <v>17</v>
      </c>
      <c r="M11" t="str">
        <f>IF(Table1[[#This Row],[Age]]&lt;50,"junior",IF(Table1[[#This Row],[Age]]&gt;=50,"senior"))</f>
        <v>junior</v>
      </c>
      <c r="N11" t="str">
        <f t="shared" si="0"/>
        <v>Poor</v>
      </c>
    </row>
    <row r="12" spans="1:14" x14ac:dyDescent="0.25">
      <c r="A12" t="s">
        <v>46</v>
      </c>
      <c r="B12" t="s">
        <v>47</v>
      </c>
      <c r="C12" t="s">
        <v>48</v>
      </c>
      <c r="D12">
        <v>51</v>
      </c>
      <c r="E12" t="s">
        <v>23</v>
      </c>
      <c r="F12" t="s">
        <v>49</v>
      </c>
      <c r="G12" s="1">
        <v>43935</v>
      </c>
      <c r="H12" s="2">
        <v>67000</v>
      </c>
      <c r="I12">
        <v>227</v>
      </c>
      <c r="J12">
        <v>3</v>
      </c>
      <c r="K12">
        <v>7</v>
      </c>
      <c r="L12" t="s">
        <v>17</v>
      </c>
      <c r="M12" t="str">
        <f>IF(Table1[[#This Row],[Age]]&lt;50,"junior",IF(Table1[[#This Row],[Age]]&gt;=50,"senior"))</f>
        <v>senior</v>
      </c>
      <c r="N12" t="str">
        <f t="shared" si="0"/>
        <v>Average</v>
      </c>
    </row>
    <row r="13" spans="1:14" x14ac:dyDescent="0.25">
      <c r="A13" t="s">
        <v>50</v>
      </c>
      <c r="B13" t="s">
        <v>51</v>
      </c>
      <c r="C13" t="s">
        <v>14</v>
      </c>
      <c r="D13">
        <v>38</v>
      </c>
      <c r="E13" t="s">
        <v>15</v>
      </c>
      <c r="F13" t="s">
        <v>31</v>
      </c>
      <c r="G13" s="1">
        <v>44688</v>
      </c>
      <c r="H13" s="2">
        <v>85000</v>
      </c>
      <c r="I13">
        <v>248</v>
      </c>
      <c r="J13">
        <v>2</v>
      </c>
      <c r="K13">
        <v>9</v>
      </c>
      <c r="L13" t="s">
        <v>17</v>
      </c>
      <c r="M13" t="str">
        <f>IF(Table1[[#This Row],[Age]]&lt;50,"junior",IF(Table1[[#This Row],[Age]]&gt;=50,"senior"))</f>
        <v>junior</v>
      </c>
      <c r="N13" t="str">
        <f t="shared" si="0"/>
        <v>Poor</v>
      </c>
    </row>
    <row r="14" spans="1:14" x14ac:dyDescent="0.25">
      <c r="A14" t="s">
        <v>52</v>
      </c>
      <c r="B14" t="s">
        <v>53</v>
      </c>
      <c r="C14" t="s">
        <v>48</v>
      </c>
      <c r="D14">
        <v>22</v>
      </c>
      <c r="E14" t="s">
        <v>23</v>
      </c>
      <c r="F14" t="s">
        <v>28</v>
      </c>
      <c r="G14" s="1">
        <v>43545</v>
      </c>
      <c r="H14" s="2">
        <v>40000</v>
      </c>
      <c r="I14">
        <v>233</v>
      </c>
      <c r="J14">
        <v>3</v>
      </c>
      <c r="K14">
        <v>15</v>
      </c>
      <c r="L14" t="s">
        <v>17</v>
      </c>
      <c r="M14" t="str">
        <f>IF(Table1[[#This Row],[Age]]&lt;50,"junior",IF(Table1[[#This Row],[Age]]&gt;=50,"senior"))</f>
        <v>junior</v>
      </c>
      <c r="N14" t="str">
        <f t="shared" si="0"/>
        <v>Average</v>
      </c>
    </row>
    <row r="15" spans="1:14" x14ac:dyDescent="0.25">
      <c r="A15" t="s">
        <v>54</v>
      </c>
      <c r="B15" t="s">
        <v>55</v>
      </c>
      <c r="C15" t="s">
        <v>14</v>
      </c>
      <c r="D15">
        <v>53</v>
      </c>
      <c r="E15" t="s">
        <v>15</v>
      </c>
      <c r="F15" t="s">
        <v>56</v>
      </c>
      <c r="G15" s="1">
        <v>43991</v>
      </c>
      <c r="H15" s="2">
        <v>83000</v>
      </c>
      <c r="I15">
        <v>245</v>
      </c>
      <c r="J15">
        <v>2</v>
      </c>
      <c r="K15">
        <v>16</v>
      </c>
      <c r="L15" t="s">
        <v>17</v>
      </c>
      <c r="M15" t="str">
        <f>IF(Table1[[#This Row],[Age]]&lt;50,"junior",IF(Table1[[#This Row],[Age]]&gt;=50,"senior"))</f>
        <v>senior</v>
      </c>
      <c r="N15" t="str">
        <f t="shared" si="0"/>
        <v>Poor</v>
      </c>
    </row>
    <row r="16" spans="1:14" x14ac:dyDescent="0.25">
      <c r="A16" t="s">
        <v>57</v>
      </c>
      <c r="B16" t="s">
        <v>58</v>
      </c>
      <c r="C16" t="s">
        <v>20</v>
      </c>
      <c r="D16">
        <v>56</v>
      </c>
      <c r="E16" t="s">
        <v>15</v>
      </c>
      <c r="F16" t="s">
        <v>24</v>
      </c>
      <c r="G16" s="1">
        <v>45100</v>
      </c>
      <c r="H16" s="2">
        <v>53000</v>
      </c>
      <c r="I16">
        <v>238</v>
      </c>
      <c r="J16">
        <v>5</v>
      </c>
      <c r="K16">
        <v>28</v>
      </c>
      <c r="L16" t="s">
        <v>17</v>
      </c>
      <c r="M16" t="str">
        <f>IF(Table1[[#This Row],[Age]]&lt;50,"junior",IF(Table1[[#This Row],[Age]]&gt;=50,"senior"))</f>
        <v>senior</v>
      </c>
      <c r="N16" t="str">
        <f t="shared" si="0"/>
        <v>Excellent</v>
      </c>
    </row>
    <row r="17" spans="1:14" x14ac:dyDescent="0.25">
      <c r="A17" t="s">
        <v>59</v>
      </c>
      <c r="B17" t="s">
        <v>60</v>
      </c>
      <c r="C17" t="s">
        <v>27</v>
      </c>
      <c r="D17">
        <v>23</v>
      </c>
      <c r="E17" t="s">
        <v>15</v>
      </c>
      <c r="F17" t="s">
        <v>16</v>
      </c>
      <c r="G17" s="1">
        <v>43495</v>
      </c>
      <c r="H17" s="2">
        <v>47000</v>
      </c>
      <c r="I17">
        <v>250</v>
      </c>
      <c r="J17">
        <v>1</v>
      </c>
      <c r="K17">
        <v>14</v>
      </c>
      <c r="L17" t="s">
        <v>17</v>
      </c>
      <c r="M17" t="str">
        <f>IF(Table1[[#This Row],[Age]]&lt;50,"junior",IF(Table1[[#This Row],[Age]]&gt;=50,"senior"))</f>
        <v>junior</v>
      </c>
      <c r="N17" t="str">
        <f t="shared" si="0"/>
        <v>Poor</v>
      </c>
    </row>
    <row r="18" spans="1:14" x14ac:dyDescent="0.25">
      <c r="A18" t="s">
        <v>61</v>
      </c>
      <c r="B18" t="s">
        <v>62</v>
      </c>
      <c r="C18" t="s">
        <v>27</v>
      </c>
      <c r="D18">
        <v>26</v>
      </c>
      <c r="E18" t="s">
        <v>15</v>
      </c>
      <c r="F18" t="s">
        <v>24</v>
      </c>
      <c r="G18" s="1">
        <v>45454</v>
      </c>
      <c r="H18" s="2">
        <v>56000</v>
      </c>
      <c r="I18">
        <v>244</v>
      </c>
      <c r="J18">
        <v>2</v>
      </c>
      <c r="K18">
        <v>36</v>
      </c>
      <c r="L18" t="s">
        <v>17</v>
      </c>
      <c r="M18" t="str">
        <f>IF(Table1[[#This Row],[Age]]&lt;50,"junior",IF(Table1[[#This Row],[Age]]&gt;=50,"senior"))</f>
        <v>junior</v>
      </c>
      <c r="N18" t="str">
        <f t="shared" si="0"/>
        <v>Poor</v>
      </c>
    </row>
    <row r="19" spans="1:14" x14ac:dyDescent="0.25">
      <c r="A19" t="s">
        <v>63</v>
      </c>
      <c r="B19" t="s">
        <v>64</v>
      </c>
      <c r="C19" t="s">
        <v>35</v>
      </c>
      <c r="D19">
        <v>48</v>
      </c>
      <c r="E19" t="s">
        <v>15</v>
      </c>
      <c r="F19" t="s">
        <v>31</v>
      </c>
      <c r="G19" s="1">
        <v>43863</v>
      </c>
      <c r="H19" s="2">
        <v>63000</v>
      </c>
      <c r="I19">
        <v>232</v>
      </c>
      <c r="J19">
        <v>4</v>
      </c>
      <c r="K19">
        <v>26</v>
      </c>
      <c r="L19" t="s">
        <v>17</v>
      </c>
      <c r="M19" t="str">
        <f>IF(Table1[[#This Row],[Age]]&lt;50,"junior",IF(Table1[[#This Row],[Age]]&gt;=50,"senior"))</f>
        <v>junior</v>
      </c>
      <c r="N19" t="str">
        <f t="shared" si="0"/>
        <v>Good</v>
      </c>
    </row>
    <row r="20" spans="1:14" x14ac:dyDescent="0.25">
      <c r="A20" t="s">
        <v>65</v>
      </c>
      <c r="B20" t="s">
        <v>66</v>
      </c>
      <c r="C20" t="s">
        <v>67</v>
      </c>
      <c r="D20">
        <v>28</v>
      </c>
      <c r="E20" t="s">
        <v>15</v>
      </c>
      <c r="F20" t="s">
        <v>39</v>
      </c>
      <c r="G20" s="1">
        <v>44855</v>
      </c>
      <c r="H20" s="2">
        <v>29000</v>
      </c>
      <c r="I20">
        <v>225</v>
      </c>
      <c r="J20">
        <v>2</v>
      </c>
      <c r="K20">
        <v>12</v>
      </c>
      <c r="L20" t="s">
        <v>17</v>
      </c>
      <c r="M20" t="str">
        <f>IF(Table1[[#This Row],[Age]]&lt;50,"junior",IF(Table1[[#This Row],[Age]]&gt;=50,"senior"))</f>
        <v>junior</v>
      </c>
      <c r="N20" t="str">
        <f t="shared" si="0"/>
        <v>Poor</v>
      </c>
    </row>
    <row r="21" spans="1:14" x14ac:dyDescent="0.25">
      <c r="A21" t="s">
        <v>68</v>
      </c>
      <c r="B21" t="s">
        <v>69</v>
      </c>
      <c r="C21" t="s">
        <v>20</v>
      </c>
      <c r="D21">
        <v>39</v>
      </c>
      <c r="E21" t="s">
        <v>23</v>
      </c>
      <c r="F21" t="s">
        <v>16</v>
      </c>
      <c r="G21" s="1">
        <v>43774</v>
      </c>
      <c r="H21" s="2">
        <v>58000</v>
      </c>
      <c r="I21">
        <v>245</v>
      </c>
      <c r="J21">
        <v>1</v>
      </c>
      <c r="K21">
        <v>3</v>
      </c>
      <c r="L21" t="s">
        <v>17</v>
      </c>
      <c r="M21" t="str">
        <f>IF(Table1[[#This Row],[Age]]&lt;50,"junior",IF(Table1[[#This Row],[Age]]&gt;=50,"senior"))</f>
        <v>junior</v>
      </c>
      <c r="N21" t="str">
        <f t="shared" si="0"/>
        <v>Poor</v>
      </c>
    </row>
    <row r="22" spans="1:14" x14ac:dyDescent="0.25">
      <c r="A22" t="s">
        <v>70</v>
      </c>
      <c r="B22" t="s">
        <v>71</v>
      </c>
      <c r="C22" t="s">
        <v>14</v>
      </c>
      <c r="D22">
        <v>27</v>
      </c>
      <c r="E22" t="s">
        <v>15</v>
      </c>
      <c r="F22" t="s">
        <v>56</v>
      </c>
      <c r="G22" s="1">
        <v>45130</v>
      </c>
      <c r="H22" s="2">
        <v>84000</v>
      </c>
      <c r="I22">
        <v>240</v>
      </c>
      <c r="J22">
        <v>2</v>
      </c>
      <c r="K22">
        <v>25</v>
      </c>
      <c r="L22" t="s">
        <v>32</v>
      </c>
      <c r="M22" t="str">
        <f>IF(Table1[[#This Row],[Age]]&lt;50,"junior",IF(Table1[[#This Row],[Age]]&gt;=50,"senior"))</f>
        <v>junior</v>
      </c>
      <c r="N22" t="str">
        <f t="shared" si="0"/>
        <v>Poor</v>
      </c>
    </row>
    <row r="23" spans="1:14" x14ac:dyDescent="0.25">
      <c r="A23" t="s">
        <v>72</v>
      </c>
      <c r="B23" t="s">
        <v>73</v>
      </c>
      <c r="C23" t="s">
        <v>14</v>
      </c>
      <c r="D23">
        <v>46</v>
      </c>
      <c r="E23" t="s">
        <v>23</v>
      </c>
      <c r="F23" t="s">
        <v>28</v>
      </c>
      <c r="G23" s="1">
        <v>44634</v>
      </c>
      <c r="H23" s="2">
        <v>80000</v>
      </c>
      <c r="I23">
        <v>245</v>
      </c>
      <c r="J23">
        <v>4</v>
      </c>
      <c r="K23">
        <v>9</v>
      </c>
      <c r="L23" t="s">
        <v>17</v>
      </c>
      <c r="M23" t="str">
        <f>IF(Table1[[#This Row],[Age]]&lt;50,"junior",IF(Table1[[#This Row],[Age]]&gt;=50,"senior"))</f>
        <v>junior</v>
      </c>
      <c r="N23" t="str">
        <f t="shared" si="0"/>
        <v>Good</v>
      </c>
    </row>
    <row r="24" spans="1:14" x14ac:dyDescent="0.25">
      <c r="A24" t="s">
        <v>74</v>
      </c>
      <c r="B24" t="s">
        <v>75</v>
      </c>
      <c r="C24" t="s">
        <v>48</v>
      </c>
      <c r="D24">
        <v>56</v>
      </c>
      <c r="E24" t="s">
        <v>15</v>
      </c>
      <c r="F24" t="s">
        <v>36</v>
      </c>
      <c r="G24" s="1">
        <v>43700</v>
      </c>
      <c r="H24" s="2">
        <v>36000</v>
      </c>
      <c r="I24">
        <v>247</v>
      </c>
      <c r="J24">
        <v>4</v>
      </c>
      <c r="K24">
        <v>32</v>
      </c>
      <c r="L24" t="s">
        <v>32</v>
      </c>
      <c r="M24" t="str">
        <f>IF(Table1[[#This Row],[Age]]&lt;50,"junior",IF(Table1[[#This Row],[Age]]&gt;=50,"senior"))</f>
        <v>senior</v>
      </c>
      <c r="N24" t="str">
        <f t="shared" si="0"/>
        <v>Good</v>
      </c>
    </row>
    <row r="25" spans="1:14" x14ac:dyDescent="0.25">
      <c r="A25" t="s">
        <v>76</v>
      </c>
      <c r="B25" t="s">
        <v>77</v>
      </c>
      <c r="C25" t="s">
        <v>14</v>
      </c>
      <c r="D25">
        <v>54</v>
      </c>
      <c r="E25" t="s">
        <v>15</v>
      </c>
      <c r="F25" t="s">
        <v>56</v>
      </c>
      <c r="G25" s="1">
        <v>43746</v>
      </c>
      <c r="H25" s="2">
        <v>57000</v>
      </c>
      <c r="I25">
        <v>225</v>
      </c>
      <c r="J25">
        <v>4</v>
      </c>
      <c r="K25">
        <v>7</v>
      </c>
      <c r="L25" t="s">
        <v>32</v>
      </c>
      <c r="M25" t="str">
        <f>IF(Table1[[#This Row],[Age]]&lt;50,"junior",IF(Table1[[#This Row],[Age]]&gt;=50,"senior"))</f>
        <v>senior</v>
      </c>
      <c r="N25" t="str">
        <f t="shared" si="0"/>
        <v>Good</v>
      </c>
    </row>
    <row r="26" spans="1:14" x14ac:dyDescent="0.25">
      <c r="A26" t="s">
        <v>78</v>
      </c>
      <c r="B26" t="s">
        <v>79</v>
      </c>
      <c r="C26" t="s">
        <v>48</v>
      </c>
      <c r="D26">
        <v>24</v>
      </c>
      <c r="E26" t="s">
        <v>15</v>
      </c>
      <c r="F26" t="s">
        <v>39</v>
      </c>
      <c r="G26" s="1">
        <v>45856</v>
      </c>
      <c r="H26" s="2">
        <v>69000</v>
      </c>
      <c r="I26">
        <v>243</v>
      </c>
      <c r="J26">
        <v>3</v>
      </c>
      <c r="K26">
        <v>16</v>
      </c>
      <c r="L26" t="s">
        <v>17</v>
      </c>
      <c r="M26" t="str">
        <f>IF(Table1[[#This Row],[Age]]&lt;50,"junior",IF(Table1[[#This Row],[Age]]&gt;=50,"senior"))</f>
        <v>junior</v>
      </c>
      <c r="N26" t="str">
        <f t="shared" si="0"/>
        <v>Average</v>
      </c>
    </row>
    <row r="27" spans="1:14" x14ac:dyDescent="0.25">
      <c r="A27" t="s">
        <v>80</v>
      </c>
      <c r="B27" t="s">
        <v>81</v>
      </c>
      <c r="C27" t="s">
        <v>20</v>
      </c>
      <c r="D27">
        <v>38</v>
      </c>
      <c r="E27" t="s">
        <v>23</v>
      </c>
      <c r="F27" t="s">
        <v>56</v>
      </c>
      <c r="G27" s="1">
        <v>44694</v>
      </c>
      <c r="H27" s="2">
        <v>59000</v>
      </c>
      <c r="I27">
        <v>230</v>
      </c>
      <c r="J27">
        <v>1</v>
      </c>
      <c r="K27">
        <v>0</v>
      </c>
      <c r="L27" t="s">
        <v>17</v>
      </c>
      <c r="M27" t="str">
        <f>IF(Table1[[#This Row],[Age]]&lt;50,"junior",IF(Table1[[#This Row],[Age]]&gt;=50,"senior"))</f>
        <v>junior</v>
      </c>
      <c r="N27" t="str">
        <f t="shared" si="0"/>
        <v>Poor</v>
      </c>
    </row>
    <row r="28" spans="1:14" x14ac:dyDescent="0.25">
      <c r="A28" t="s">
        <v>82</v>
      </c>
      <c r="B28" t="s">
        <v>55</v>
      </c>
      <c r="C28" t="s">
        <v>14</v>
      </c>
      <c r="D28">
        <v>56</v>
      </c>
      <c r="E28" t="s">
        <v>15</v>
      </c>
      <c r="F28" t="s">
        <v>24</v>
      </c>
      <c r="G28" s="1">
        <v>44008</v>
      </c>
      <c r="H28" s="2">
        <v>75000</v>
      </c>
      <c r="I28">
        <v>214</v>
      </c>
      <c r="J28">
        <v>2</v>
      </c>
      <c r="K28">
        <v>23</v>
      </c>
      <c r="L28" t="s">
        <v>17</v>
      </c>
      <c r="M28" t="str">
        <f>IF(Table1[[#This Row],[Age]]&lt;50,"junior",IF(Table1[[#This Row],[Age]]&gt;=50,"senior"))</f>
        <v>senior</v>
      </c>
      <c r="N28" t="str">
        <f t="shared" si="0"/>
        <v>Poor</v>
      </c>
    </row>
    <row r="29" spans="1:14" x14ac:dyDescent="0.25">
      <c r="A29" t="s">
        <v>83</v>
      </c>
      <c r="B29" t="s">
        <v>84</v>
      </c>
      <c r="C29" t="s">
        <v>48</v>
      </c>
      <c r="D29">
        <v>41</v>
      </c>
      <c r="E29" t="s">
        <v>15</v>
      </c>
      <c r="F29" t="s">
        <v>24</v>
      </c>
      <c r="G29" s="1">
        <v>43890</v>
      </c>
      <c r="H29" s="2">
        <v>41000</v>
      </c>
      <c r="I29">
        <v>226</v>
      </c>
      <c r="J29">
        <v>1</v>
      </c>
      <c r="K29">
        <v>6</v>
      </c>
      <c r="L29" t="s">
        <v>17</v>
      </c>
      <c r="M29" t="str">
        <f>IF(Table1[[#This Row],[Age]]&lt;50,"junior",IF(Table1[[#This Row],[Age]]&gt;=50,"senior"))</f>
        <v>junior</v>
      </c>
      <c r="N29" t="str">
        <f t="shared" si="0"/>
        <v>Poor</v>
      </c>
    </row>
    <row r="30" spans="1:14" x14ac:dyDescent="0.25">
      <c r="A30" t="s">
        <v>85</v>
      </c>
      <c r="B30" t="s">
        <v>86</v>
      </c>
      <c r="C30" t="s">
        <v>27</v>
      </c>
      <c r="D30">
        <v>35</v>
      </c>
      <c r="E30" t="s">
        <v>23</v>
      </c>
      <c r="F30" t="s">
        <v>16</v>
      </c>
      <c r="G30" s="1">
        <v>44547</v>
      </c>
      <c r="H30" s="2">
        <v>75000</v>
      </c>
      <c r="I30">
        <v>241</v>
      </c>
      <c r="J30">
        <v>3</v>
      </c>
      <c r="K30">
        <v>3</v>
      </c>
      <c r="L30" t="s">
        <v>17</v>
      </c>
      <c r="M30" t="str">
        <f>IF(Table1[[#This Row],[Age]]&lt;50,"junior",IF(Table1[[#This Row],[Age]]&gt;=50,"senior"))</f>
        <v>junior</v>
      </c>
      <c r="N30" t="str">
        <f t="shared" si="0"/>
        <v>Average</v>
      </c>
    </row>
    <row r="31" spans="1:14" x14ac:dyDescent="0.25">
      <c r="A31" t="s">
        <v>87</v>
      </c>
      <c r="B31" t="s">
        <v>88</v>
      </c>
      <c r="C31" t="s">
        <v>27</v>
      </c>
      <c r="D31">
        <v>24</v>
      </c>
      <c r="E31" t="s">
        <v>15</v>
      </c>
      <c r="F31" t="s">
        <v>36</v>
      </c>
      <c r="G31" s="1">
        <v>44001</v>
      </c>
      <c r="H31" s="2">
        <v>59000</v>
      </c>
      <c r="I31">
        <v>220</v>
      </c>
      <c r="J31">
        <v>4</v>
      </c>
      <c r="K31">
        <v>35</v>
      </c>
      <c r="L31" t="s">
        <v>17</v>
      </c>
      <c r="M31" t="str">
        <f>IF(Table1[[#This Row],[Age]]&lt;50,"junior",IF(Table1[[#This Row],[Age]]&gt;=50,"senior"))</f>
        <v>junior</v>
      </c>
      <c r="N31" t="str">
        <f t="shared" si="0"/>
        <v>Good</v>
      </c>
    </row>
    <row r="32" spans="1:14" x14ac:dyDescent="0.25">
      <c r="A32" t="s">
        <v>89</v>
      </c>
      <c r="B32" t="s">
        <v>90</v>
      </c>
      <c r="C32" t="s">
        <v>14</v>
      </c>
      <c r="D32">
        <v>26</v>
      </c>
      <c r="E32" t="s">
        <v>15</v>
      </c>
      <c r="F32" t="s">
        <v>49</v>
      </c>
      <c r="G32" s="1">
        <v>44978</v>
      </c>
      <c r="H32" s="2">
        <v>90000</v>
      </c>
      <c r="I32">
        <v>245</v>
      </c>
      <c r="J32">
        <v>2</v>
      </c>
      <c r="K32">
        <v>27</v>
      </c>
      <c r="L32" t="s">
        <v>17</v>
      </c>
      <c r="M32" t="str">
        <f>IF(Table1[[#This Row],[Age]]&lt;50,"junior",IF(Table1[[#This Row],[Age]]&gt;=50,"senior"))</f>
        <v>junior</v>
      </c>
      <c r="N32" t="str">
        <f t="shared" si="0"/>
        <v>Poor</v>
      </c>
    </row>
    <row r="33" spans="1:14" x14ac:dyDescent="0.25">
      <c r="A33" t="s">
        <v>91</v>
      </c>
      <c r="B33" t="s">
        <v>92</v>
      </c>
      <c r="C33" t="s">
        <v>14</v>
      </c>
      <c r="D33">
        <v>44</v>
      </c>
      <c r="E33" t="s">
        <v>15</v>
      </c>
      <c r="F33" t="s">
        <v>16</v>
      </c>
      <c r="G33" s="1">
        <v>43887</v>
      </c>
      <c r="H33" s="2">
        <v>75000</v>
      </c>
      <c r="I33">
        <v>245</v>
      </c>
      <c r="J33">
        <v>4</v>
      </c>
      <c r="K33">
        <v>39</v>
      </c>
      <c r="L33" t="s">
        <v>17</v>
      </c>
      <c r="M33" t="str">
        <f>IF(Table1[[#This Row],[Age]]&lt;50,"junior",IF(Table1[[#This Row],[Age]]&gt;=50,"senior"))</f>
        <v>junior</v>
      </c>
      <c r="N33" t="str">
        <f t="shared" si="0"/>
        <v>Good</v>
      </c>
    </row>
    <row r="34" spans="1:14" x14ac:dyDescent="0.25">
      <c r="A34" t="s">
        <v>93</v>
      </c>
      <c r="B34" t="s">
        <v>94</v>
      </c>
      <c r="C34" t="s">
        <v>20</v>
      </c>
      <c r="D34">
        <v>33</v>
      </c>
      <c r="E34" t="s">
        <v>23</v>
      </c>
      <c r="F34" t="s">
        <v>49</v>
      </c>
      <c r="G34" s="1">
        <v>44200</v>
      </c>
      <c r="H34" s="2">
        <v>51000</v>
      </c>
      <c r="I34">
        <v>236</v>
      </c>
      <c r="J34">
        <v>2</v>
      </c>
      <c r="K34">
        <v>17</v>
      </c>
      <c r="L34" t="s">
        <v>17</v>
      </c>
      <c r="M34" t="str">
        <f>IF(Table1[[#This Row],[Age]]&lt;50,"junior",IF(Table1[[#This Row],[Age]]&gt;=50,"senior"))</f>
        <v>junior</v>
      </c>
      <c r="N34" t="str">
        <f t="shared" ref="N34:N65" si="1">IF(J34=5,"Excellent",IF(J34=4,"Good",IF(J34=3,"Average","Poor")))</f>
        <v>Poor</v>
      </c>
    </row>
    <row r="35" spans="1:14" x14ac:dyDescent="0.25">
      <c r="A35" t="s">
        <v>95</v>
      </c>
      <c r="B35" t="s">
        <v>96</v>
      </c>
      <c r="C35" t="s">
        <v>35</v>
      </c>
      <c r="D35">
        <v>24</v>
      </c>
      <c r="E35" t="s">
        <v>23</v>
      </c>
      <c r="F35" t="s">
        <v>16</v>
      </c>
      <c r="G35" s="1">
        <v>44283</v>
      </c>
      <c r="H35" s="2">
        <v>65000</v>
      </c>
      <c r="I35">
        <v>232</v>
      </c>
      <c r="J35">
        <v>3</v>
      </c>
      <c r="K35">
        <v>14</v>
      </c>
      <c r="L35" t="s">
        <v>17</v>
      </c>
      <c r="M35" t="str">
        <f>IF(Table1[[#This Row],[Age]]&lt;50,"junior",IF(Table1[[#This Row],[Age]]&gt;=50,"senior"))</f>
        <v>junior</v>
      </c>
      <c r="N35" t="str">
        <f t="shared" si="1"/>
        <v>Average</v>
      </c>
    </row>
    <row r="36" spans="1:14" x14ac:dyDescent="0.25">
      <c r="A36" t="s">
        <v>97</v>
      </c>
      <c r="B36" t="s">
        <v>98</v>
      </c>
      <c r="C36" t="s">
        <v>35</v>
      </c>
      <c r="D36">
        <v>43</v>
      </c>
      <c r="E36" t="s">
        <v>23</v>
      </c>
      <c r="F36" t="s">
        <v>31</v>
      </c>
      <c r="G36" s="1">
        <v>44609</v>
      </c>
      <c r="H36" s="2">
        <v>58000</v>
      </c>
      <c r="I36">
        <v>242</v>
      </c>
      <c r="J36">
        <v>4</v>
      </c>
      <c r="K36">
        <v>34</v>
      </c>
      <c r="L36" t="s">
        <v>17</v>
      </c>
      <c r="M36" t="str">
        <f>IF(Table1[[#This Row],[Age]]&lt;50,"junior",IF(Table1[[#This Row],[Age]]&gt;=50,"senior"))</f>
        <v>junior</v>
      </c>
      <c r="N36" t="str">
        <f t="shared" si="1"/>
        <v>Good</v>
      </c>
    </row>
    <row r="37" spans="1:14" x14ac:dyDescent="0.25">
      <c r="A37" t="s">
        <v>99</v>
      </c>
      <c r="B37" t="s">
        <v>19</v>
      </c>
      <c r="C37" t="s">
        <v>27</v>
      </c>
      <c r="D37">
        <v>33</v>
      </c>
      <c r="E37" t="s">
        <v>23</v>
      </c>
      <c r="F37" t="s">
        <v>49</v>
      </c>
      <c r="G37" s="1">
        <v>43910</v>
      </c>
      <c r="H37" s="2">
        <v>70000</v>
      </c>
      <c r="I37">
        <v>232</v>
      </c>
      <c r="J37">
        <v>3</v>
      </c>
      <c r="K37">
        <v>27</v>
      </c>
      <c r="L37" t="s">
        <v>17</v>
      </c>
      <c r="M37" t="str">
        <f>IF(Table1[[#This Row],[Age]]&lt;50,"junior",IF(Table1[[#This Row],[Age]]&gt;=50,"senior"))</f>
        <v>junior</v>
      </c>
      <c r="N37" t="str">
        <f t="shared" si="1"/>
        <v>Average</v>
      </c>
    </row>
    <row r="38" spans="1:14" x14ac:dyDescent="0.25">
      <c r="A38" t="s">
        <v>100</v>
      </c>
      <c r="B38" t="s">
        <v>101</v>
      </c>
      <c r="C38" t="s">
        <v>35</v>
      </c>
      <c r="D38">
        <v>58</v>
      </c>
      <c r="E38" t="s">
        <v>15</v>
      </c>
      <c r="F38" t="s">
        <v>24</v>
      </c>
      <c r="G38" s="1">
        <v>43647</v>
      </c>
      <c r="H38" s="2">
        <v>63000</v>
      </c>
      <c r="I38">
        <v>210</v>
      </c>
      <c r="J38">
        <v>5</v>
      </c>
      <c r="K38">
        <v>34</v>
      </c>
      <c r="L38" t="s">
        <v>17</v>
      </c>
      <c r="M38" t="str">
        <f>IF(Table1[[#This Row],[Age]]&lt;50,"junior",IF(Table1[[#This Row],[Age]]&gt;=50,"senior"))</f>
        <v>senior</v>
      </c>
      <c r="N38" t="str">
        <f t="shared" si="1"/>
        <v>Excellent</v>
      </c>
    </row>
    <row r="39" spans="1:14" x14ac:dyDescent="0.25">
      <c r="A39" t="s">
        <v>102</v>
      </c>
      <c r="B39" t="s">
        <v>103</v>
      </c>
      <c r="C39" t="s">
        <v>67</v>
      </c>
      <c r="D39">
        <v>34</v>
      </c>
      <c r="E39" t="s">
        <v>23</v>
      </c>
      <c r="F39" t="s">
        <v>39</v>
      </c>
      <c r="G39" s="1">
        <v>43752</v>
      </c>
      <c r="H39" s="2">
        <v>44000</v>
      </c>
      <c r="I39">
        <v>249</v>
      </c>
      <c r="J39">
        <v>3</v>
      </c>
      <c r="K39">
        <v>7</v>
      </c>
      <c r="L39" t="s">
        <v>17</v>
      </c>
      <c r="M39" t="str">
        <f>IF(Table1[[#This Row],[Age]]&lt;50,"junior",IF(Table1[[#This Row],[Age]]&gt;=50,"senior"))</f>
        <v>junior</v>
      </c>
      <c r="N39" t="str">
        <f t="shared" si="1"/>
        <v>Average</v>
      </c>
    </row>
    <row r="40" spans="1:14" x14ac:dyDescent="0.25">
      <c r="A40" t="s">
        <v>104</v>
      </c>
      <c r="B40" t="s">
        <v>105</v>
      </c>
      <c r="C40" t="s">
        <v>27</v>
      </c>
      <c r="D40">
        <v>48</v>
      </c>
      <c r="E40" t="s">
        <v>23</v>
      </c>
      <c r="F40" t="s">
        <v>39</v>
      </c>
      <c r="G40" s="1">
        <v>44677</v>
      </c>
      <c r="H40" s="2">
        <v>78000</v>
      </c>
      <c r="I40">
        <v>218</v>
      </c>
      <c r="J40">
        <v>2</v>
      </c>
      <c r="K40">
        <v>26</v>
      </c>
      <c r="L40" t="s">
        <v>17</v>
      </c>
      <c r="M40" t="str">
        <f>IF(Table1[[#This Row],[Age]]&lt;50,"junior",IF(Table1[[#This Row],[Age]]&gt;=50,"senior"))</f>
        <v>junior</v>
      </c>
      <c r="N40" t="str">
        <f t="shared" si="1"/>
        <v>Poor</v>
      </c>
    </row>
    <row r="41" spans="1:14" x14ac:dyDescent="0.25">
      <c r="A41" t="s">
        <v>106</v>
      </c>
      <c r="B41" t="s">
        <v>107</v>
      </c>
      <c r="C41" t="s">
        <v>67</v>
      </c>
      <c r="D41">
        <v>33</v>
      </c>
      <c r="E41" t="s">
        <v>23</v>
      </c>
      <c r="F41" t="s">
        <v>39</v>
      </c>
      <c r="G41" s="1">
        <v>45710</v>
      </c>
      <c r="H41" s="2">
        <v>23000</v>
      </c>
      <c r="I41">
        <v>229</v>
      </c>
      <c r="J41">
        <v>3</v>
      </c>
      <c r="K41">
        <v>13</v>
      </c>
      <c r="L41" t="s">
        <v>17</v>
      </c>
      <c r="M41" t="str">
        <f>IF(Table1[[#This Row],[Age]]&lt;50,"junior",IF(Table1[[#This Row],[Age]]&gt;=50,"senior"))</f>
        <v>junior</v>
      </c>
      <c r="N41" t="str">
        <f t="shared" si="1"/>
        <v>Average</v>
      </c>
    </row>
    <row r="42" spans="1:14" x14ac:dyDescent="0.25">
      <c r="A42" t="s">
        <v>108</v>
      </c>
      <c r="B42" t="s">
        <v>109</v>
      </c>
      <c r="C42" t="s">
        <v>67</v>
      </c>
      <c r="D42">
        <v>42</v>
      </c>
      <c r="E42" t="s">
        <v>23</v>
      </c>
      <c r="F42" t="s">
        <v>28</v>
      </c>
      <c r="G42" s="1">
        <v>45277</v>
      </c>
      <c r="H42" s="2">
        <v>36000</v>
      </c>
      <c r="I42">
        <v>242</v>
      </c>
      <c r="J42">
        <v>4</v>
      </c>
      <c r="K42">
        <v>10</v>
      </c>
      <c r="L42" t="s">
        <v>17</v>
      </c>
      <c r="M42" t="str">
        <f>IF(Table1[[#This Row],[Age]]&lt;50,"junior",IF(Table1[[#This Row],[Age]]&gt;=50,"senior"))</f>
        <v>junior</v>
      </c>
      <c r="N42" t="str">
        <f t="shared" si="1"/>
        <v>Good</v>
      </c>
    </row>
    <row r="43" spans="1:14" x14ac:dyDescent="0.25">
      <c r="A43" t="s">
        <v>110</v>
      </c>
      <c r="B43" t="s">
        <v>105</v>
      </c>
      <c r="C43" t="s">
        <v>67</v>
      </c>
      <c r="D43">
        <v>43</v>
      </c>
      <c r="E43" t="s">
        <v>15</v>
      </c>
      <c r="F43" t="s">
        <v>16</v>
      </c>
      <c r="G43" s="1">
        <v>44737</v>
      </c>
      <c r="H43" s="2">
        <v>37000</v>
      </c>
      <c r="I43">
        <v>222</v>
      </c>
      <c r="J43">
        <v>2</v>
      </c>
      <c r="K43">
        <v>1</v>
      </c>
      <c r="L43" t="s">
        <v>17</v>
      </c>
      <c r="M43" t="str">
        <f>IF(Table1[[#This Row],[Age]]&lt;50,"junior",IF(Table1[[#This Row],[Age]]&gt;=50,"senior"))</f>
        <v>junior</v>
      </c>
      <c r="N43" t="str">
        <f t="shared" si="1"/>
        <v>Poor</v>
      </c>
    </row>
    <row r="44" spans="1:14" x14ac:dyDescent="0.25">
      <c r="A44" t="s">
        <v>111</v>
      </c>
      <c r="B44" t="s">
        <v>112</v>
      </c>
      <c r="C44" t="s">
        <v>14</v>
      </c>
      <c r="D44">
        <v>51</v>
      </c>
      <c r="E44" t="s">
        <v>23</v>
      </c>
      <c r="F44" t="s">
        <v>16</v>
      </c>
      <c r="G44" s="1">
        <v>45038</v>
      </c>
      <c r="H44" s="2">
        <v>84000</v>
      </c>
      <c r="I44">
        <v>235</v>
      </c>
      <c r="J44">
        <v>2</v>
      </c>
      <c r="K44">
        <v>9</v>
      </c>
      <c r="L44" t="s">
        <v>17</v>
      </c>
      <c r="M44" t="str">
        <f>IF(Table1[[#This Row],[Age]]&lt;50,"junior",IF(Table1[[#This Row],[Age]]&gt;=50,"senior"))</f>
        <v>senior</v>
      </c>
      <c r="N44" t="str">
        <f t="shared" si="1"/>
        <v>Poor</v>
      </c>
    </row>
    <row r="45" spans="1:14" x14ac:dyDescent="0.25">
      <c r="A45" t="s">
        <v>113</v>
      </c>
      <c r="B45" t="s">
        <v>114</v>
      </c>
      <c r="C45" t="s">
        <v>14</v>
      </c>
      <c r="D45">
        <v>49</v>
      </c>
      <c r="E45" t="s">
        <v>15</v>
      </c>
      <c r="F45" t="s">
        <v>56</v>
      </c>
      <c r="G45" s="1">
        <v>45587</v>
      </c>
      <c r="H45" s="2">
        <v>82000</v>
      </c>
      <c r="I45">
        <v>213</v>
      </c>
      <c r="J45">
        <v>5</v>
      </c>
      <c r="K45">
        <v>15</v>
      </c>
      <c r="L45" t="s">
        <v>32</v>
      </c>
      <c r="M45" t="str">
        <f>IF(Table1[[#This Row],[Age]]&lt;50,"junior",IF(Table1[[#This Row],[Age]]&gt;=50,"senior"))</f>
        <v>junior</v>
      </c>
      <c r="N45" t="str">
        <f t="shared" si="1"/>
        <v>Excellent</v>
      </c>
    </row>
    <row r="46" spans="1:14" x14ac:dyDescent="0.25">
      <c r="A46" t="s">
        <v>115</v>
      </c>
      <c r="B46" t="s">
        <v>116</v>
      </c>
      <c r="C46" t="s">
        <v>20</v>
      </c>
      <c r="D46">
        <v>51</v>
      </c>
      <c r="E46" t="s">
        <v>23</v>
      </c>
      <c r="F46" t="s">
        <v>28</v>
      </c>
      <c r="G46" s="1">
        <v>45975</v>
      </c>
      <c r="H46" s="2">
        <v>62000</v>
      </c>
      <c r="I46">
        <v>237</v>
      </c>
      <c r="J46">
        <v>5</v>
      </c>
      <c r="K46">
        <v>28</v>
      </c>
      <c r="L46" t="s">
        <v>32</v>
      </c>
      <c r="M46" t="str">
        <f>IF(Table1[[#This Row],[Age]]&lt;50,"junior",IF(Table1[[#This Row],[Age]]&gt;=50,"senior"))</f>
        <v>senior</v>
      </c>
      <c r="N46" t="str">
        <f t="shared" si="1"/>
        <v>Excellent</v>
      </c>
    </row>
    <row r="47" spans="1:14" x14ac:dyDescent="0.25">
      <c r="A47" t="s">
        <v>117</v>
      </c>
      <c r="B47" t="s">
        <v>118</v>
      </c>
      <c r="C47" t="s">
        <v>35</v>
      </c>
      <c r="D47">
        <v>50</v>
      </c>
      <c r="E47" t="s">
        <v>23</v>
      </c>
      <c r="F47" t="s">
        <v>16</v>
      </c>
      <c r="G47" s="1">
        <v>44601</v>
      </c>
      <c r="H47" s="2">
        <v>69000</v>
      </c>
      <c r="I47">
        <v>241</v>
      </c>
      <c r="J47">
        <v>2</v>
      </c>
      <c r="K47">
        <v>17</v>
      </c>
      <c r="L47" t="s">
        <v>17</v>
      </c>
      <c r="M47" t="str">
        <f>IF(Table1[[#This Row],[Age]]&lt;50,"junior",IF(Table1[[#This Row],[Age]]&gt;=50,"senior"))</f>
        <v>senior</v>
      </c>
      <c r="N47" t="str">
        <f t="shared" si="1"/>
        <v>Poor</v>
      </c>
    </row>
    <row r="48" spans="1:14" x14ac:dyDescent="0.25">
      <c r="A48" t="s">
        <v>119</v>
      </c>
      <c r="B48" t="s">
        <v>120</v>
      </c>
      <c r="C48" t="s">
        <v>20</v>
      </c>
      <c r="D48">
        <v>39</v>
      </c>
      <c r="E48" t="s">
        <v>23</v>
      </c>
      <c r="F48" t="s">
        <v>36</v>
      </c>
      <c r="G48" s="1">
        <v>45678</v>
      </c>
      <c r="H48" s="2">
        <v>35000</v>
      </c>
      <c r="I48">
        <v>218</v>
      </c>
      <c r="J48">
        <v>2</v>
      </c>
      <c r="K48">
        <v>14</v>
      </c>
      <c r="L48" t="s">
        <v>17</v>
      </c>
      <c r="M48" t="str">
        <f>IF(Table1[[#This Row],[Age]]&lt;50,"junior",IF(Table1[[#This Row],[Age]]&gt;=50,"senior"))</f>
        <v>junior</v>
      </c>
      <c r="N48" t="str">
        <f t="shared" si="1"/>
        <v>Poor</v>
      </c>
    </row>
    <row r="49" spans="1:14" x14ac:dyDescent="0.25">
      <c r="A49" t="s">
        <v>121</v>
      </c>
      <c r="B49" t="s">
        <v>122</v>
      </c>
      <c r="C49" t="s">
        <v>20</v>
      </c>
      <c r="D49">
        <v>26</v>
      </c>
      <c r="E49" t="s">
        <v>23</v>
      </c>
      <c r="F49" t="s">
        <v>39</v>
      </c>
      <c r="G49" s="1">
        <v>44821</v>
      </c>
      <c r="H49" s="2">
        <v>64000</v>
      </c>
      <c r="I49">
        <v>239</v>
      </c>
      <c r="J49">
        <v>4</v>
      </c>
      <c r="K49">
        <v>3</v>
      </c>
      <c r="L49" t="s">
        <v>17</v>
      </c>
      <c r="M49" t="str">
        <f>IF(Table1[[#This Row],[Age]]&lt;50,"junior",IF(Table1[[#This Row],[Age]]&gt;=50,"senior"))</f>
        <v>junior</v>
      </c>
      <c r="N49" t="str">
        <f t="shared" si="1"/>
        <v>Good</v>
      </c>
    </row>
    <row r="50" spans="1:14" x14ac:dyDescent="0.25">
      <c r="A50" t="s">
        <v>123</v>
      </c>
      <c r="B50" t="s">
        <v>124</v>
      </c>
      <c r="C50" t="s">
        <v>48</v>
      </c>
      <c r="D50">
        <v>23</v>
      </c>
      <c r="E50" t="s">
        <v>23</v>
      </c>
      <c r="F50" t="s">
        <v>28</v>
      </c>
      <c r="G50" s="1">
        <v>43490</v>
      </c>
      <c r="H50" s="2">
        <v>55000</v>
      </c>
      <c r="I50">
        <v>229</v>
      </c>
      <c r="J50">
        <v>4</v>
      </c>
      <c r="K50">
        <v>26</v>
      </c>
      <c r="L50" t="s">
        <v>17</v>
      </c>
      <c r="M50" t="str">
        <f>IF(Table1[[#This Row],[Age]]&lt;50,"junior",IF(Table1[[#This Row],[Age]]&gt;=50,"senior"))</f>
        <v>junior</v>
      </c>
      <c r="N50" t="str">
        <f t="shared" si="1"/>
        <v>Good</v>
      </c>
    </row>
    <row r="51" spans="1:14" x14ac:dyDescent="0.25">
      <c r="A51" t="s">
        <v>125</v>
      </c>
      <c r="B51" t="s">
        <v>126</v>
      </c>
      <c r="C51" t="s">
        <v>48</v>
      </c>
      <c r="D51">
        <v>36</v>
      </c>
      <c r="E51" t="s">
        <v>23</v>
      </c>
      <c r="F51" t="s">
        <v>16</v>
      </c>
      <c r="G51" s="1">
        <v>44583</v>
      </c>
      <c r="H51" s="2">
        <v>60000</v>
      </c>
      <c r="I51">
        <v>241</v>
      </c>
      <c r="J51">
        <v>1</v>
      </c>
      <c r="K51">
        <v>24</v>
      </c>
      <c r="L51" t="s">
        <v>17</v>
      </c>
      <c r="M51" t="str">
        <f>IF(Table1[[#This Row],[Age]]&lt;50,"junior",IF(Table1[[#This Row],[Age]]&gt;=50,"senior"))</f>
        <v>junior</v>
      </c>
      <c r="N51" t="str">
        <f t="shared" si="1"/>
        <v>Poor</v>
      </c>
    </row>
    <row r="52" spans="1:14" x14ac:dyDescent="0.25">
      <c r="A52" t="s">
        <v>127</v>
      </c>
      <c r="B52" t="s">
        <v>128</v>
      </c>
      <c r="C52" t="s">
        <v>35</v>
      </c>
      <c r="D52">
        <v>32</v>
      </c>
      <c r="E52" t="s">
        <v>23</v>
      </c>
      <c r="F52" t="s">
        <v>56</v>
      </c>
      <c r="G52" s="1">
        <v>46014</v>
      </c>
      <c r="H52" s="2">
        <v>70000</v>
      </c>
      <c r="I52">
        <v>211</v>
      </c>
      <c r="J52">
        <v>4</v>
      </c>
      <c r="K52">
        <v>37</v>
      </c>
      <c r="L52" t="s">
        <v>17</v>
      </c>
      <c r="M52" t="str">
        <f>IF(Table1[[#This Row],[Age]]&lt;50,"junior",IF(Table1[[#This Row],[Age]]&gt;=50,"senior"))</f>
        <v>junior</v>
      </c>
      <c r="N52" t="str">
        <f t="shared" si="1"/>
        <v>Good</v>
      </c>
    </row>
    <row r="53" spans="1:14" x14ac:dyDescent="0.25">
      <c r="A53" t="s">
        <v>129</v>
      </c>
      <c r="B53" t="s">
        <v>19</v>
      </c>
      <c r="C53" t="s">
        <v>67</v>
      </c>
      <c r="D53">
        <v>49</v>
      </c>
      <c r="E53" t="s">
        <v>15</v>
      </c>
      <c r="F53" t="s">
        <v>28</v>
      </c>
      <c r="G53" s="1">
        <v>44210</v>
      </c>
      <c r="H53" s="2">
        <v>26000</v>
      </c>
      <c r="I53">
        <v>226</v>
      </c>
      <c r="J53">
        <v>4</v>
      </c>
      <c r="K53">
        <v>20</v>
      </c>
      <c r="L53" t="s">
        <v>17</v>
      </c>
      <c r="M53" t="str">
        <f>IF(Table1[[#This Row],[Age]]&lt;50,"junior",IF(Table1[[#This Row],[Age]]&gt;=50,"senior"))</f>
        <v>junior</v>
      </c>
      <c r="N53" t="str">
        <f t="shared" si="1"/>
        <v>Good</v>
      </c>
    </row>
    <row r="54" spans="1:14" x14ac:dyDescent="0.25">
      <c r="A54" t="s">
        <v>130</v>
      </c>
      <c r="B54" t="s">
        <v>131</v>
      </c>
      <c r="C54" t="s">
        <v>35</v>
      </c>
      <c r="D54">
        <v>39</v>
      </c>
      <c r="E54" t="s">
        <v>23</v>
      </c>
      <c r="F54" t="s">
        <v>24</v>
      </c>
      <c r="G54" s="1">
        <v>43801</v>
      </c>
      <c r="H54" s="2">
        <v>66000</v>
      </c>
      <c r="I54">
        <v>211</v>
      </c>
      <c r="J54">
        <v>5</v>
      </c>
      <c r="K54">
        <v>3</v>
      </c>
      <c r="L54" t="s">
        <v>32</v>
      </c>
      <c r="M54" t="str">
        <f>IF(Table1[[#This Row],[Age]]&lt;50,"junior",IF(Table1[[#This Row],[Age]]&gt;=50,"senior"))</f>
        <v>junior</v>
      </c>
      <c r="N54" t="str">
        <f t="shared" si="1"/>
        <v>Excellent</v>
      </c>
    </row>
    <row r="55" spans="1:14" x14ac:dyDescent="0.25">
      <c r="A55" t="s">
        <v>132</v>
      </c>
      <c r="B55" t="s">
        <v>133</v>
      </c>
      <c r="C55" t="s">
        <v>67</v>
      </c>
      <c r="D55">
        <v>26</v>
      </c>
      <c r="E55" t="s">
        <v>15</v>
      </c>
      <c r="F55" t="s">
        <v>49</v>
      </c>
      <c r="G55" s="1">
        <v>44478</v>
      </c>
      <c r="H55" s="2">
        <v>35000</v>
      </c>
      <c r="I55">
        <v>211</v>
      </c>
      <c r="J55">
        <v>5</v>
      </c>
      <c r="K55">
        <v>9</v>
      </c>
      <c r="L55" t="s">
        <v>17</v>
      </c>
      <c r="M55" t="str">
        <f>IF(Table1[[#This Row],[Age]]&lt;50,"junior",IF(Table1[[#This Row],[Age]]&gt;=50,"senior"))</f>
        <v>junior</v>
      </c>
      <c r="N55" t="str">
        <f t="shared" si="1"/>
        <v>Excellent</v>
      </c>
    </row>
    <row r="56" spans="1:14" x14ac:dyDescent="0.25">
      <c r="A56" t="s">
        <v>134</v>
      </c>
      <c r="B56" t="s">
        <v>135</v>
      </c>
      <c r="C56" t="s">
        <v>14</v>
      </c>
      <c r="D56">
        <v>58</v>
      </c>
      <c r="E56" t="s">
        <v>15</v>
      </c>
      <c r="F56" t="s">
        <v>28</v>
      </c>
      <c r="G56" s="1">
        <v>44515</v>
      </c>
      <c r="H56" s="2">
        <v>76000</v>
      </c>
      <c r="I56">
        <v>220</v>
      </c>
      <c r="J56">
        <v>5</v>
      </c>
      <c r="K56">
        <v>38</v>
      </c>
      <c r="L56" t="s">
        <v>32</v>
      </c>
      <c r="M56" t="str">
        <f>IF(Table1[[#This Row],[Age]]&lt;50,"junior",IF(Table1[[#This Row],[Age]]&gt;=50,"senior"))</f>
        <v>senior</v>
      </c>
      <c r="N56" t="str">
        <f t="shared" si="1"/>
        <v>Excellent</v>
      </c>
    </row>
    <row r="57" spans="1:14" x14ac:dyDescent="0.25">
      <c r="A57" t="s">
        <v>136</v>
      </c>
      <c r="B57" t="s">
        <v>96</v>
      </c>
      <c r="C57" t="s">
        <v>20</v>
      </c>
      <c r="D57">
        <v>41</v>
      </c>
      <c r="E57" t="s">
        <v>15</v>
      </c>
      <c r="F57" t="s">
        <v>49</v>
      </c>
      <c r="G57" s="1">
        <v>44743</v>
      </c>
      <c r="H57" s="2">
        <v>66000</v>
      </c>
      <c r="I57">
        <v>234</v>
      </c>
      <c r="J57">
        <v>4</v>
      </c>
      <c r="K57">
        <v>12</v>
      </c>
      <c r="L57" t="s">
        <v>17</v>
      </c>
      <c r="M57" t="str">
        <f>IF(Table1[[#This Row],[Age]]&lt;50,"junior",IF(Table1[[#This Row],[Age]]&gt;=50,"senior"))</f>
        <v>junior</v>
      </c>
      <c r="N57" t="str">
        <f t="shared" si="1"/>
        <v>Good</v>
      </c>
    </row>
    <row r="58" spans="1:14" x14ac:dyDescent="0.25">
      <c r="A58" t="s">
        <v>137</v>
      </c>
      <c r="B58" t="s">
        <v>138</v>
      </c>
      <c r="C58" t="s">
        <v>67</v>
      </c>
      <c r="D58">
        <v>37</v>
      </c>
      <c r="E58" t="s">
        <v>15</v>
      </c>
      <c r="F58" t="s">
        <v>24</v>
      </c>
      <c r="G58" s="1">
        <v>45925</v>
      </c>
      <c r="H58" s="2">
        <v>30000</v>
      </c>
      <c r="I58">
        <v>246</v>
      </c>
      <c r="J58">
        <v>1</v>
      </c>
      <c r="K58">
        <v>22</v>
      </c>
      <c r="L58" t="s">
        <v>17</v>
      </c>
      <c r="M58" t="str">
        <f>IF(Table1[[#This Row],[Age]]&lt;50,"junior",IF(Table1[[#This Row],[Age]]&gt;=50,"senior"))</f>
        <v>junior</v>
      </c>
      <c r="N58" t="str">
        <f t="shared" si="1"/>
        <v>Poor</v>
      </c>
    </row>
    <row r="59" spans="1:14" x14ac:dyDescent="0.25">
      <c r="A59" t="s">
        <v>139</v>
      </c>
      <c r="B59" t="s">
        <v>140</v>
      </c>
      <c r="C59" t="s">
        <v>14</v>
      </c>
      <c r="D59">
        <v>54</v>
      </c>
      <c r="E59" t="s">
        <v>23</v>
      </c>
      <c r="F59" t="s">
        <v>49</v>
      </c>
      <c r="G59" s="1">
        <v>45186</v>
      </c>
      <c r="H59" s="2">
        <v>84000</v>
      </c>
      <c r="I59">
        <v>216</v>
      </c>
      <c r="J59">
        <v>4</v>
      </c>
      <c r="K59">
        <v>23</v>
      </c>
      <c r="L59" t="s">
        <v>17</v>
      </c>
      <c r="M59" t="str">
        <f>IF(Table1[[#This Row],[Age]]&lt;50,"junior",IF(Table1[[#This Row],[Age]]&gt;=50,"senior"))</f>
        <v>senior</v>
      </c>
      <c r="N59" t="str">
        <f t="shared" si="1"/>
        <v>Good</v>
      </c>
    </row>
    <row r="60" spans="1:14" x14ac:dyDescent="0.25">
      <c r="A60" t="s">
        <v>141</v>
      </c>
      <c r="B60" t="s">
        <v>142</v>
      </c>
      <c r="C60" t="s">
        <v>20</v>
      </c>
      <c r="D60">
        <v>49</v>
      </c>
      <c r="E60" t="s">
        <v>15</v>
      </c>
      <c r="F60" t="s">
        <v>24</v>
      </c>
      <c r="G60" s="1">
        <v>45988</v>
      </c>
      <c r="H60" s="2">
        <v>64000</v>
      </c>
      <c r="I60">
        <v>240</v>
      </c>
      <c r="J60">
        <v>4</v>
      </c>
      <c r="K60">
        <v>27</v>
      </c>
      <c r="L60" t="s">
        <v>17</v>
      </c>
      <c r="M60" t="str">
        <f>IF(Table1[[#This Row],[Age]]&lt;50,"junior",IF(Table1[[#This Row],[Age]]&gt;=50,"senior"))</f>
        <v>junior</v>
      </c>
      <c r="N60" t="str">
        <f t="shared" si="1"/>
        <v>Good</v>
      </c>
    </row>
    <row r="61" spans="1:14" x14ac:dyDescent="0.25">
      <c r="A61" t="s">
        <v>143</v>
      </c>
      <c r="B61" t="s">
        <v>144</v>
      </c>
      <c r="C61" t="s">
        <v>27</v>
      </c>
      <c r="D61">
        <v>37</v>
      </c>
      <c r="E61" t="s">
        <v>15</v>
      </c>
      <c r="F61" t="s">
        <v>24</v>
      </c>
      <c r="G61" s="1">
        <v>45312</v>
      </c>
      <c r="H61" s="2">
        <v>58000</v>
      </c>
      <c r="I61">
        <v>239</v>
      </c>
      <c r="J61">
        <v>5</v>
      </c>
      <c r="K61">
        <v>39</v>
      </c>
      <c r="L61" t="s">
        <v>17</v>
      </c>
      <c r="M61" t="str">
        <f>IF(Table1[[#This Row],[Age]]&lt;50,"junior",IF(Table1[[#This Row],[Age]]&gt;=50,"senior"))</f>
        <v>junior</v>
      </c>
      <c r="N61" t="str">
        <f t="shared" si="1"/>
        <v>Excellent</v>
      </c>
    </row>
    <row r="62" spans="1:14" x14ac:dyDescent="0.25">
      <c r="A62" t="s">
        <v>145</v>
      </c>
      <c r="B62" t="s">
        <v>146</v>
      </c>
      <c r="C62" t="s">
        <v>35</v>
      </c>
      <c r="D62">
        <v>42</v>
      </c>
      <c r="E62" t="s">
        <v>15</v>
      </c>
      <c r="F62" t="s">
        <v>28</v>
      </c>
      <c r="G62" s="1">
        <v>44334</v>
      </c>
      <c r="H62" s="2">
        <v>58000</v>
      </c>
      <c r="I62">
        <v>226</v>
      </c>
      <c r="J62">
        <v>3</v>
      </c>
      <c r="K62">
        <v>17</v>
      </c>
      <c r="L62" t="s">
        <v>32</v>
      </c>
      <c r="M62" t="str">
        <f>IF(Table1[[#This Row],[Age]]&lt;50,"junior",IF(Table1[[#This Row],[Age]]&gt;=50,"senior"))</f>
        <v>junior</v>
      </c>
      <c r="N62" t="str">
        <f t="shared" si="1"/>
        <v>Average</v>
      </c>
    </row>
    <row r="63" spans="1:14" x14ac:dyDescent="0.25">
      <c r="A63" t="s">
        <v>147</v>
      </c>
      <c r="B63" t="s">
        <v>148</v>
      </c>
      <c r="C63" t="s">
        <v>27</v>
      </c>
      <c r="D63">
        <v>57</v>
      </c>
      <c r="E63" t="s">
        <v>15</v>
      </c>
      <c r="F63" t="s">
        <v>16</v>
      </c>
      <c r="G63" s="1">
        <v>43816</v>
      </c>
      <c r="H63" s="2">
        <v>58000</v>
      </c>
      <c r="I63">
        <v>236</v>
      </c>
      <c r="J63">
        <v>4</v>
      </c>
      <c r="K63">
        <v>35</v>
      </c>
      <c r="L63" t="s">
        <v>17</v>
      </c>
      <c r="M63" t="str">
        <f>IF(Table1[[#This Row],[Age]]&lt;50,"junior",IF(Table1[[#This Row],[Age]]&gt;=50,"senior"))</f>
        <v>senior</v>
      </c>
      <c r="N63" t="str">
        <f t="shared" si="1"/>
        <v>Good</v>
      </c>
    </row>
    <row r="64" spans="1:14" x14ac:dyDescent="0.25">
      <c r="A64" t="s">
        <v>149</v>
      </c>
      <c r="B64" t="s">
        <v>150</v>
      </c>
      <c r="C64" t="s">
        <v>67</v>
      </c>
      <c r="D64">
        <v>53</v>
      </c>
      <c r="E64" t="s">
        <v>23</v>
      </c>
      <c r="F64" t="s">
        <v>49</v>
      </c>
      <c r="G64" s="1">
        <v>43847</v>
      </c>
      <c r="H64" s="2">
        <v>41000</v>
      </c>
      <c r="I64">
        <v>224</v>
      </c>
      <c r="J64">
        <v>4</v>
      </c>
      <c r="K64">
        <v>15</v>
      </c>
      <c r="L64" t="s">
        <v>17</v>
      </c>
      <c r="M64" t="str">
        <f>IF(Table1[[#This Row],[Age]]&lt;50,"junior",IF(Table1[[#This Row],[Age]]&gt;=50,"senior"))</f>
        <v>senior</v>
      </c>
      <c r="N64" t="str">
        <f t="shared" si="1"/>
        <v>Good</v>
      </c>
    </row>
    <row r="65" spans="1:14" x14ac:dyDescent="0.25">
      <c r="A65" t="s">
        <v>151</v>
      </c>
      <c r="B65" t="s">
        <v>152</v>
      </c>
      <c r="C65" t="s">
        <v>35</v>
      </c>
      <c r="D65">
        <v>57</v>
      </c>
      <c r="E65" t="s">
        <v>23</v>
      </c>
      <c r="F65" t="s">
        <v>39</v>
      </c>
      <c r="G65" s="1">
        <v>45720</v>
      </c>
      <c r="H65" s="2">
        <v>57000</v>
      </c>
      <c r="I65">
        <v>232</v>
      </c>
      <c r="J65">
        <v>4</v>
      </c>
      <c r="K65">
        <v>17</v>
      </c>
      <c r="L65" t="s">
        <v>17</v>
      </c>
      <c r="M65" t="str">
        <f>IF(Table1[[#This Row],[Age]]&lt;50,"junior",IF(Table1[[#This Row],[Age]]&gt;=50,"senior"))</f>
        <v>senior</v>
      </c>
      <c r="N65" t="str">
        <f t="shared" si="1"/>
        <v>Good</v>
      </c>
    </row>
    <row r="66" spans="1:14" x14ac:dyDescent="0.25">
      <c r="A66" t="s">
        <v>153</v>
      </c>
      <c r="B66" t="s">
        <v>60</v>
      </c>
      <c r="C66" t="s">
        <v>67</v>
      </c>
      <c r="D66">
        <v>34</v>
      </c>
      <c r="E66" t="s">
        <v>23</v>
      </c>
      <c r="F66" t="s">
        <v>31</v>
      </c>
      <c r="G66" s="1">
        <v>45660</v>
      </c>
      <c r="H66" s="2">
        <v>34000</v>
      </c>
      <c r="I66">
        <v>222</v>
      </c>
      <c r="J66">
        <v>2</v>
      </c>
      <c r="K66">
        <v>30</v>
      </c>
      <c r="L66" t="s">
        <v>17</v>
      </c>
      <c r="M66" t="str">
        <f>IF(Table1[[#This Row],[Age]]&lt;50,"junior",IF(Table1[[#This Row],[Age]]&gt;=50,"senior"))</f>
        <v>junior</v>
      </c>
      <c r="N66" t="str">
        <f t="shared" ref="N66:N101" si="2">IF(J66=5,"Excellent",IF(J66=4,"Good",IF(J66=3,"Average","Poor")))</f>
        <v>Poor</v>
      </c>
    </row>
    <row r="67" spans="1:14" x14ac:dyDescent="0.25">
      <c r="A67" t="s">
        <v>154</v>
      </c>
      <c r="B67" t="s">
        <v>155</v>
      </c>
      <c r="C67" t="s">
        <v>48</v>
      </c>
      <c r="D67">
        <v>40</v>
      </c>
      <c r="E67" t="s">
        <v>15</v>
      </c>
      <c r="F67" t="s">
        <v>16</v>
      </c>
      <c r="G67" s="1">
        <v>44679</v>
      </c>
      <c r="H67" s="2">
        <v>47000</v>
      </c>
      <c r="I67">
        <v>233</v>
      </c>
      <c r="J67">
        <v>2</v>
      </c>
      <c r="K67">
        <v>19</v>
      </c>
      <c r="L67" t="s">
        <v>17</v>
      </c>
      <c r="M67" t="str">
        <f>IF(Table1[[#This Row],[Age]]&lt;50,"junior",IF(Table1[[#This Row],[Age]]&gt;=50,"senior"))</f>
        <v>junior</v>
      </c>
      <c r="N67" t="str">
        <f t="shared" si="2"/>
        <v>Poor</v>
      </c>
    </row>
    <row r="68" spans="1:14" x14ac:dyDescent="0.25">
      <c r="A68" t="s">
        <v>156</v>
      </c>
      <c r="B68" t="s">
        <v>157</v>
      </c>
      <c r="C68" t="s">
        <v>27</v>
      </c>
      <c r="D68">
        <v>24</v>
      </c>
      <c r="E68" t="s">
        <v>15</v>
      </c>
      <c r="F68" t="s">
        <v>24</v>
      </c>
      <c r="G68" s="1">
        <v>43983</v>
      </c>
      <c r="H68" s="2">
        <v>74000</v>
      </c>
      <c r="I68">
        <v>216</v>
      </c>
      <c r="J68">
        <v>1</v>
      </c>
      <c r="K68">
        <v>36</v>
      </c>
      <c r="L68" t="s">
        <v>17</v>
      </c>
      <c r="M68" t="str">
        <f>IF(Table1[[#This Row],[Age]]&lt;50,"junior",IF(Table1[[#This Row],[Age]]&gt;=50,"senior"))</f>
        <v>junior</v>
      </c>
      <c r="N68" t="str">
        <f t="shared" si="2"/>
        <v>Poor</v>
      </c>
    </row>
    <row r="69" spans="1:14" x14ac:dyDescent="0.25">
      <c r="A69" t="s">
        <v>158</v>
      </c>
      <c r="B69" t="s">
        <v>159</v>
      </c>
      <c r="C69" t="s">
        <v>27</v>
      </c>
      <c r="D69">
        <v>33</v>
      </c>
      <c r="E69" t="s">
        <v>15</v>
      </c>
      <c r="F69" t="s">
        <v>24</v>
      </c>
      <c r="G69" s="1">
        <v>45422</v>
      </c>
      <c r="H69" s="2">
        <v>50000</v>
      </c>
      <c r="I69">
        <v>214</v>
      </c>
      <c r="J69">
        <v>4</v>
      </c>
      <c r="K69">
        <v>31</v>
      </c>
      <c r="L69" t="s">
        <v>17</v>
      </c>
      <c r="M69" t="str">
        <f>IF(Table1[[#This Row],[Age]]&lt;50,"junior",IF(Table1[[#This Row],[Age]]&gt;=50,"senior"))</f>
        <v>junior</v>
      </c>
      <c r="N69" t="str">
        <f t="shared" si="2"/>
        <v>Good</v>
      </c>
    </row>
    <row r="70" spans="1:14" x14ac:dyDescent="0.25">
      <c r="A70" t="s">
        <v>160</v>
      </c>
      <c r="B70" t="s">
        <v>161</v>
      </c>
      <c r="C70" t="s">
        <v>14</v>
      </c>
      <c r="D70">
        <v>31</v>
      </c>
      <c r="E70" t="s">
        <v>15</v>
      </c>
      <c r="F70" t="s">
        <v>24</v>
      </c>
      <c r="G70" s="1">
        <v>43814</v>
      </c>
      <c r="H70" s="2">
        <v>68000</v>
      </c>
      <c r="I70">
        <v>217</v>
      </c>
      <c r="J70">
        <v>5</v>
      </c>
      <c r="K70">
        <v>26</v>
      </c>
      <c r="L70" t="s">
        <v>17</v>
      </c>
      <c r="M70" t="str">
        <f>IF(Table1[[#This Row],[Age]]&lt;50,"junior",IF(Table1[[#This Row],[Age]]&gt;=50,"senior"))</f>
        <v>junior</v>
      </c>
      <c r="N70" t="str">
        <f t="shared" si="2"/>
        <v>Excellent</v>
      </c>
    </row>
    <row r="71" spans="1:14" x14ac:dyDescent="0.25">
      <c r="A71" t="s">
        <v>162</v>
      </c>
      <c r="B71" t="s">
        <v>163</v>
      </c>
      <c r="C71" t="s">
        <v>48</v>
      </c>
      <c r="D71">
        <v>46</v>
      </c>
      <c r="E71" t="s">
        <v>23</v>
      </c>
      <c r="F71" t="s">
        <v>28</v>
      </c>
      <c r="G71" s="1">
        <v>44683</v>
      </c>
      <c r="H71" s="2">
        <v>70000</v>
      </c>
      <c r="I71">
        <v>237</v>
      </c>
      <c r="J71">
        <v>3</v>
      </c>
      <c r="K71">
        <v>36</v>
      </c>
      <c r="L71" t="s">
        <v>17</v>
      </c>
      <c r="M71" t="str">
        <f>IF(Table1[[#This Row],[Age]]&lt;50,"junior",IF(Table1[[#This Row],[Age]]&gt;=50,"senior"))</f>
        <v>junior</v>
      </c>
      <c r="N71" t="str">
        <f t="shared" si="2"/>
        <v>Average</v>
      </c>
    </row>
    <row r="72" spans="1:14" x14ac:dyDescent="0.25">
      <c r="A72" t="s">
        <v>164</v>
      </c>
      <c r="B72" t="s">
        <v>165</v>
      </c>
      <c r="C72" t="s">
        <v>14</v>
      </c>
      <c r="D72">
        <v>35</v>
      </c>
      <c r="E72" t="s">
        <v>15</v>
      </c>
      <c r="F72" t="s">
        <v>24</v>
      </c>
      <c r="G72" s="1">
        <v>43798</v>
      </c>
      <c r="H72" s="2">
        <v>63000</v>
      </c>
      <c r="I72">
        <v>225</v>
      </c>
      <c r="J72">
        <v>2</v>
      </c>
      <c r="K72">
        <v>35</v>
      </c>
      <c r="L72" t="s">
        <v>17</v>
      </c>
      <c r="M72" t="str">
        <f>IF(Table1[[#This Row],[Age]]&lt;50,"junior",IF(Table1[[#This Row],[Age]]&gt;=50,"senior"))</f>
        <v>junior</v>
      </c>
      <c r="N72" t="str">
        <f t="shared" si="2"/>
        <v>Poor</v>
      </c>
    </row>
    <row r="73" spans="1:14" x14ac:dyDescent="0.25">
      <c r="A73" t="s">
        <v>166</v>
      </c>
      <c r="B73" t="s">
        <v>167</v>
      </c>
      <c r="C73" t="s">
        <v>35</v>
      </c>
      <c r="D73">
        <v>52</v>
      </c>
      <c r="E73" t="s">
        <v>23</v>
      </c>
      <c r="F73" t="s">
        <v>49</v>
      </c>
      <c r="G73" s="1">
        <v>44414</v>
      </c>
      <c r="H73" s="2">
        <v>54000</v>
      </c>
      <c r="I73">
        <v>228</v>
      </c>
      <c r="J73">
        <v>4</v>
      </c>
      <c r="K73">
        <v>4</v>
      </c>
      <c r="L73" t="s">
        <v>17</v>
      </c>
      <c r="M73" t="str">
        <f>IF(Table1[[#This Row],[Age]]&lt;50,"junior",IF(Table1[[#This Row],[Age]]&gt;=50,"senior"))</f>
        <v>senior</v>
      </c>
      <c r="N73" t="str">
        <f t="shared" si="2"/>
        <v>Good</v>
      </c>
    </row>
    <row r="74" spans="1:14" x14ac:dyDescent="0.25">
      <c r="A74" t="s">
        <v>168</v>
      </c>
      <c r="B74" t="s">
        <v>169</v>
      </c>
      <c r="C74" t="s">
        <v>67</v>
      </c>
      <c r="D74">
        <v>34</v>
      </c>
      <c r="E74" t="s">
        <v>23</v>
      </c>
      <c r="F74" t="s">
        <v>31</v>
      </c>
      <c r="G74" s="1">
        <v>45696</v>
      </c>
      <c r="H74" s="2">
        <v>37000</v>
      </c>
      <c r="I74">
        <v>219</v>
      </c>
      <c r="J74">
        <v>3</v>
      </c>
      <c r="K74">
        <v>9</v>
      </c>
      <c r="L74" t="s">
        <v>17</v>
      </c>
      <c r="M74" t="str">
        <f>IF(Table1[[#This Row],[Age]]&lt;50,"junior",IF(Table1[[#This Row],[Age]]&gt;=50,"senior"))</f>
        <v>junior</v>
      </c>
      <c r="N74" t="str">
        <f t="shared" si="2"/>
        <v>Average</v>
      </c>
    </row>
    <row r="75" spans="1:14" x14ac:dyDescent="0.25">
      <c r="A75" t="s">
        <v>170</v>
      </c>
      <c r="B75" t="s">
        <v>171</v>
      </c>
      <c r="C75" t="s">
        <v>27</v>
      </c>
      <c r="D75">
        <v>58</v>
      </c>
      <c r="E75" t="s">
        <v>23</v>
      </c>
      <c r="F75" t="s">
        <v>28</v>
      </c>
      <c r="G75" s="1">
        <v>43975</v>
      </c>
      <c r="H75" s="2">
        <v>72000</v>
      </c>
      <c r="I75">
        <v>229</v>
      </c>
      <c r="J75">
        <v>4</v>
      </c>
      <c r="K75">
        <v>17</v>
      </c>
      <c r="L75" t="s">
        <v>17</v>
      </c>
      <c r="M75" t="str">
        <f>IF(Table1[[#This Row],[Age]]&lt;50,"junior",IF(Table1[[#This Row],[Age]]&gt;=50,"senior"))</f>
        <v>senior</v>
      </c>
      <c r="N75" t="str">
        <f t="shared" si="2"/>
        <v>Good</v>
      </c>
    </row>
    <row r="76" spans="1:14" x14ac:dyDescent="0.25">
      <c r="A76" t="s">
        <v>172</v>
      </c>
      <c r="B76" t="s">
        <v>159</v>
      </c>
      <c r="C76" t="s">
        <v>14</v>
      </c>
      <c r="D76">
        <v>24</v>
      </c>
      <c r="E76" t="s">
        <v>23</v>
      </c>
      <c r="F76" t="s">
        <v>36</v>
      </c>
      <c r="G76" s="1">
        <v>45938</v>
      </c>
      <c r="H76" s="2">
        <v>69000</v>
      </c>
      <c r="I76">
        <v>211</v>
      </c>
      <c r="J76">
        <v>1</v>
      </c>
      <c r="K76">
        <v>14</v>
      </c>
      <c r="L76" t="s">
        <v>32</v>
      </c>
      <c r="M76" t="str">
        <f>IF(Table1[[#This Row],[Age]]&lt;50,"junior",IF(Table1[[#This Row],[Age]]&gt;=50,"senior"))</f>
        <v>junior</v>
      </c>
      <c r="N76" t="str">
        <f t="shared" si="2"/>
        <v>Poor</v>
      </c>
    </row>
    <row r="77" spans="1:14" x14ac:dyDescent="0.25">
      <c r="A77" t="s">
        <v>173</v>
      </c>
      <c r="B77" t="s">
        <v>109</v>
      </c>
      <c r="C77" t="s">
        <v>14</v>
      </c>
      <c r="D77">
        <v>39</v>
      </c>
      <c r="E77" t="s">
        <v>15</v>
      </c>
      <c r="F77" t="s">
        <v>56</v>
      </c>
      <c r="G77" s="1">
        <v>45393</v>
      </c>
      <c r="H77" s="2">
        <v>86000</v>
      </c>
      <c r="I77">
        <v>238</v>
      </c>
      <c r="J77">
        <v>3</v>
      </c>
      <c r="K77">
        <v>11</v>
      </c>
      <c r="L77" t="s">
        <v>32</v>
      </c>
      <c r="M77" t="str">
        <f>IF(Table1[[#This Row],[Age]]&lt;50,"junior",IF(Table1[[#This Row],[Age]]&gt;=50,"senior"))</f>
        <v>junior</v>
      </c>
      <c r="N77" t="str">
        <f t="shared" si="2"/>
        <v>Average</v>
      </c>
    </row>
    <row r="78" spans="1:14" x14ac:dyDescent="0.25">
      <c r="A78" t="s">
        <v>174</v>
      </c>
      <c r="B78" t="s">
        <v>175</v>
      </c>
      <c r="C78" t="s">
        <v>35</v>
      </c>
      <c r="D78">
        <v>27</v>
      </c>
      <c r="E78" t="s">
        <v>23</v>
      </c>
      <c r="F78" t="s">
        <v>36</v>
      </c>
      <c r="G78" s="1">
        <v>45138</v>
      </c>
      <c r="H78" s="2">
        <v>57000</v>
      </c>
      <c r="I78">
        <v>230</v>
      </c>
      <c r="J78">
        <v>1</v>
      </c>
      <c r="K78">
        <v>10</v>
      </c>
      <c r="L78" t="s">
        <v>17</v>
      </c>
      <c r="M78" t="str">
        <f>IF(Table1[[#This Row],[Age]]&lt;50,"junior",IF(Table1[[#This Row],[Age]]&gt;=50,"senior"))</f>
        <v>junior</v>
      </c>
      <c r="N78" t="str">
        <f t="shared" si="2"/>
        <v>Poor</v>
      </c>
    </row>
    <row r="79" spans="1:14" x14ac:dyDescent="0.25">
      <c r="A79" t="s">
        <v>176</v>
      </c>
      <c r="B79" t="s">
        <v>150</v>
      </c>
      <c r="C79" t="s">
        <v>27</v>
      </c>
      <c r="D79">
        <v>47</v>
      </c>
      <c r="E79" t="s">
        <v>15</v>
      </c>
      <c r="F79" t="s">
        <v>28</v>
      </c>
      <c r="G79" s="1">
        <v>43826</v>
      </c>
      <c r="H79" s="2">
        <v>63000</v>
      </c>
      <c r="I79">
        <v>226</v>
      </c>
      <c r="J79">
        <v>3</v>
      </c>
      <c r="K79">
        <v>7</v>
      </c>
      <c r="L79" t="s">
        <v>32</v>
      </c>
      <c r="M79" t="str">
        <f>IF(Table1[[#This Row],[Age]]&lt;50,"junior",IF(Table1[[#This Row],[Age]]&gt;=50,"senior"))</f>
        <v>junior</v>
      </c>
      <c r="N79" t="str">
        <f t="shared" si="2"/>
        <v>Average</v>
      </c>
    </row>
    <row r="80" spans="1:14" x14ac:dyDescent="0.25">
      <c r="A80" t="s">
        <v>177</v>
      </c>
      <c r="B80" t="s">
        <v>178</v>
      </c>
      <c r="C80" t="s">
        <v>48</v>
      </c>
      <c r="D80">
        <v>22</v>
      </c>
      <c r="E80" t="s">
        <v>23</v>
      </c>
      <c r="F80" t="s">
        <v>39</v>
      </c>
      <c r="G80" s="1">
        <v>43688</v>
      </c>
      <c r="H80" s="2">
        <v>45000</v>
      </c>
      <c r="I80">
        <v>243</v>
      </c>
      <c r="J80">
        <v>3</v>
      </c>
      <c r="K80">
        <v>39</v>
      </c>
      <c r="L80" t="s">
        <v>17</v>
      </c>
      <c r="M80" t="str">
        <f>IF(Table1[[#This Row],[Age]]&lt;50,"junior",IF(Table1[[#This Row],[Age]]&gt;=50,"senior"))</f>
        <v>junior</v>
      </c>
      <c r="N80" t="str">
        <f t="shared" si="2"/>
        <v>Average</v>
      </c>
    </row>
    <row r="81" spans="1:14" x14ac:dyDescent="0.25">
      <c r="A81" t="s">
        <v>179</v>
      </c>
      <c r="B81" t="s">
        <v>43</v>
      </c>
      <c r="C81" t="s">
        <v>14</v>
      </c>
      <c r="D81">
        <v>35</v>
      </c>
      <c r="E81" t="s">
        <v>23</v>
      </c>
      <c r="F81" t="s">
        <v>56</v>
      </c>
      <c r="G81" s="1">
        <v>44645</v>
      </c>
      <c r="H81" s="2">
        <v>81000</v>
      </c>
      <c r="I81">
        <v>241</v>
      </c>
      <c r="J81">
        <v>1</v>
      </c>
      <c r="K81">
        <v>1</v>
      </c>
      <c r="L81" t="s">
        <v>32</v>
      </c>
      <c r="M81" t="str">
        <f>IF(Table1[[#This Row],[Age]]&lt;50,"junior",IF(Table1[[#This Row],[Age]]&gt;=50,"senior"))</f>
        <v>junior</v>
      </c>
      <c r="N81" t="str">
        <f t="shared" si="2"/>
        <v>Poor</v>
      </c>
    </row>
    <row r="82" spans="1:14" x14ac:dyDescent="0.25">
      <c r="A82" t="s">
        <v>180</v>
      </c>
      <c r="B82" t="s">
        <v>181</v>
      </c>
      <c r="C82" t="s">
        <v>20</v>
      </c>
      <c r="D82">
        <v>32</v>
      </c>
      <c r="E82" t="s">
        <v>23</v>
      </c>
      <c r="F82" t="s">
        <v>49</v>
      </c>
      <c r="G82" s="1">
        <v>45728</v>
      </c>
      <c r="H82" s="2">
        <v>56000</v>
      </c>
      <c r="I82">
        <v>215</v>
      </c>
      <c r="J82">
        <v>2</v>
      </c>
      <c r="K82">
        <v>7</v>
      </c>
      <c r="L82" t="s">
        <v>17</v>
      </c>
      <c r="M82" t="str">
        <f>IF(Table1[[#This Row],[Age]]&lt;50,"junior",IF(Table1[[#This Row],[Age]]&gt;=50,"senior"))</f>
        <v>junior</v>
      </c>
      <c r="N82" t="str">
        <f t="shared" si="2"/>
        <v>Poor</v>
      </c>
    </row>
    <row r="83" spans="1:14" x14ac:dyDescent="0.25">
      <c r="A83" t="s">
        <v>182</v>
      </c>
      <c r="B83" t="s">
        <v>183</v>
      </c>
      <c r="C83" t="s">
        <v>20</v>
      </c>
      <c r="D83">
        <v>53</v>
      </c>
      <c r="E83" t="s">
        <v>23</v>
      </c>
      <c r="F83" t="s">
        <v>24</v>
      </c>
      <c r="G83" s="1">
        <v>45167</v>
      </c>
      <c r="H83" s="2">
        <v>60000</v>
      </c>
      <c r="I83">
        <v>240</v>
      </c>
      <c r="J83">
        <v>2</v>
      </c>
      <c r="K83">
        <v>29</v>
      </c>
      <c r="L83" t="s">
        <v>17</v>
      </c>
      <c r="M83" t="str">
        <f>IF(Table1[[#This Row],[Age]]&lt;50,"junior",IF(Table1[[#This Row],[Age]]&gt;=50,"senior"))</f>
        <v>senior</v>
      </c>
      <c r="N83" t="str">
        <f t="shared" si="2"/>
        <v>Poor</v>
      </c>
    </row>
    <row r="84" spans="1:14" x14ac:dyDescent="0.25">
      <c r="A84" t="s">
        <v>184</v>
      </c>
      <c r="B84" t="s">
        <v>185</v>
      </c>
      <c r="C84" t="s">
        <v>48</v>
      </c>
      <c r="D84">
        <v>54</v>
      </c>
      <c r="E84" t="s">
        <v>15</v>
      </c>
      <c r="F84" t="s">
        <v>31</v>
      </c>
      <c r="G84" s="1">
        <v>44597</v>
      </c>
      <c r="H84" s="2">
        <v>59000</v>
      </c>
      <c r="I84">
        <v>231</v>
      </c>
      <c r="J84">
        <v>5</v>
      </c>
      <c r="K84">
        <v>17</v>
      </c>
      <c r="L84" t="s">
        <v>17</v>
      </c>
      <c r="M84" t="str">
        <f>IF(Table1[[#This Row],[Age]]&lt;50,"junior",IF(Table1[[#This Row],[Age]]&gt;=50,"senior"))</f>
        <v>senior</v>
      </c>
      <c r="N84" t="str">
        <f t="shared" si="2"/>
        <v>Excellent</v>
      </c>
    </row>
    <row r="85" spans="1:14" x14ac:dyDescent="0.25">
      <c r="A85" t="s">
        <v>186</v>
      </c>
      <c r="B85" t="s">
        <v>187</v>
      </c>
      <c r="C85" t="s">
        <v>27</v>
      </c>
      <c r="D85">
        <v>53</v>
      </c>
      <c r="E85" t="s">
        <v>15</v>
      </c>
      <c r="F85" t="s">
        <v>28</v>
      </c>
      <c r="G85" s="1">
        <v>45672</v>
      </c>
      <c r="H85" s="2">
        <v>73000</v>
      </c>
      <c r="I85">
        <v>232</v>
      </c>
      <c r="J85">
        <v>3</v>
      </c>
      <c r="K85">
        <v>35</v>
      </c>
      <c r="L85" t="s">
        <v>17</v>
      </c>
      <c r="M85" t="str">
        <f>IF(Table1[[#This Row],[Age]]&lt;50,"junior",IF(Table1[[#This Row],[Age]]&gt;=50,"senior"))</f>
        <v>senior</v>
      </c>
      <c r="N85" t="str">
        <f t="shared" si="2"/>
        <v>Average</v>
      </c>
    </row>
    <row r="86" spans="1:14" x14ac:dyDescent="0.25">
      <c r="A86" t="s">
        <v>188</v>
      </c>
      <c r="B86" t="s">
        <v>189</v>
      </c>
      <c r="C86" t="s">
        <v>27</v>
      </c>
      <c r="D86">
        <v>34</v>
      </c>
      <c r="E86" t="s">
        <v>15</v>
      </c>
      <c r="F86" t="s">
        <v>39</v>
      </c>
      <c r="G86" s="1">
        <v>44422</v>
      </c>
      <c r="H86" s="2">
        <v>69000</v>
      </c>
      <c r="I86">
        <v>212</v>
      </c>
      <c r="J86">
        <v>3</v>
      </c>
      <c r="K86">
        <v>30</v>
      </c>
      <c r="L86" t="s">
        <v>17</v>
      </c>
      <c r="M86" t="str">
        <f>IF(Table1[[#This Row],[Age]]&lt;50,"junior",IF(Table1[[#This Row],[Age]]&gt;=50,"senior"))</f>
        <v>junior</v>
      </c>
      <c r="N86" t="str">
        <f t="shared" si="2"/>
        <v>Average</v>
      </c>
    </row>
    <row r="87" spans="1:14" x14ac:dyDescent="0.25">
      <c r="A87" t="s">
        <v>190</v>
      </c>
      <c r="B87" t="s">
        <v>47</v>
      </c>
      <c r="C87" t="s">
        <v>67</v>
      </c>
      <c r="D87">
        <v>31</v>
      </c>
      <c r="E87" t="s">
        <v>23</v>
      </c>
      <c r="F87" t="s">
        <v>49</v>
      </c>
      <c r="G87" s="1">
        <v>43983</v>
      </c>
      <c r="H87" s="2">
        <v>55000</v>
      </c>
      <c r="I87">
        <v>247</v>
      </c>
      <c r="J87">
        <v>3</v>
      </c>
      <c r="K87">
        <v>6</v>
      </c>
      <c r="L87" t="s">
        <v>32</v>
      </c>
      <c r="M87" t="str">
        <f>IF(Table1[[#This Row],[Age]]&lt;50,"junior",IF(Table1[[#This Row],[Age]]&gt;=50,"senior"))</f>
        <v>junior</v>
      </c>
      <c r="N87" t="str">
        <f t="shared" si="2"/>
        <v>Average</v>
      </c>
    </row>
    <row r="88" spans="1:14" x14ac:dyDescent="0.25">
      <c r="A88" t="s">
        <v>191</v>
      </c>
      <c r="B88" t="s">
        <v>192</v>
      </c>
      <c r="C88" t="s">
        <v>48</v>
      </c>
      <c r="D88">
        <v>51</v>
      </c>
      <c r="E88" t="s">
        <v>15</v>
      </c>
      <c r="F88" t="s">
        <v>56</v>
      </c>
      <c r="G88" s="1">
        <v>45145</v>
      </c>
      <c r="H88" s="2">
        <v>42000</v>
      </c>
      <c r="I88">
        <v>214</v>
      </c>
      <c r="J88">
        <v>4</v>
      </c>
      <c r="K88">
        <v>16</v>
      </c>
      <c r="L88" t="s">
        <v>17</v>
      </c>
      <c r="M88" t="str">
        <f>IF(Table1[[#This Row],[Age]]&lt;50,"junior",IF(Table1[[#This Row],[Age]]&gt;=50,"senior"))</f>
        <v>senior</v>
      </c>
      <c r="N88" t="str">
        <f t="shared" si="2"/>
        <v>Good</v>
      </c>
    </row>
    <row r="89" spans="1:14" x14ac:dyDescent="0.25">
      <c r="A89" t="s">
        <v>193</v>
      </c>
      <c r="B89" t="s">
        <v>194</v>
      </c>
      <c r="C89" t="s">
        <v>67</v>
      </c>
      <c r="D89">
        <v>27</v>
      </c>
      <c r="E89" t="s">
        <v>23</v>
      </c>
      <c r="F89" t="s">
        <v>39</v>
      </c>
      <c r="G89" s="1">
        <v>44763</v>
      </c>
      <c r="H89" s="2">
        <v>54000</v>
      </c>
      <c r="I89">
        <v>244</v>
      </c>
      <c r="J89">
        <v>1</v>
      </c>
      <c r="K89">
        <v>39</v>
      </c>
      <c r="L89" t="s">
        <v>17</v>
      </c>
      <c r="M89" t="str">
        <f>IF(Table1[[#This Row],[Age]]&lt;50,"junior",IF(Table1[[#This Row],[Age]]&gt;=50,"senior"))</f>
        <v>junior</v>
      </c>
      <c r="N89" t="str">
        <f t="shared" si="2"/>
        <v>Poor</v>
      </c>
    </row>
    <row r="90" spans="1:14" x14ac:dyDescent="0.25">
      <c r="A90" t="s">
        <v>195</v>
      </c>
      <c r="B90" t="s">
        <v>161</v>
      </c>
      <c r="C90" t="s">
        <v>27</v>
      </c>
      <c r="D90">
        <v>36</v>
      </c>
      <c r="E90" t="s">
        <v>15</v>
      </c>
      <c r="F90" t="s">
        <v>39</v>
      </c>
      <c r="G90" s="1">
        <v>43869</v>
      </c>
      <c r="H90" s="2">
        <v>49000</v>
      </c>
      <c r="I90">
        <v>238</v>
      </c>
      <c r="J90">
        <v>2</v>
      </c>
      <c r="K90">
        <v>19</v>
      </c>
      <c r="L90" t="s">
        <v>32</v>
      </c>
      <c r="M90" t="str">
        <f>IF(Table1[[#This Row],[Age]]&lt;50,"junior",IF(Table1[[#This Row],[Age]]&gt;=50,"senior"))</f>
        <v>junior</v>
      </c>
      <c r="N90" t="str">
        <f t="shared" si="2"/>
        <v>Poor</v>
      </c>
    </row>
    <row r="91" spans="1:14" x14ac:dyDescent="0.25">
      <c r="A91" t="s">
        <v>196</v>
      </c>
      <c r="B91" t="s">
        <v>197</v>
      </c>
      <c r="C91" t="s">
        <v>14</v>
      </c>
      <c r="D91">
        <v>40</v>
      </c>
      <c r="E91" t="s">
        <v>23</v>
      </c>
      <c r="F91" t="s">
        <v>36</v>
      </c>
      <c r="G91" s="1">
        <v>45230</v>
      </c>
      <c r="H91" s="2">
        <v>62000</v>
      </c>
      <c r="I91">
        <v>225</v>
      </c>
      <c r="J91">
        <v>5</v>
      </c>
      <c r="K91">
        <v>26</v>
      </c>
      <c r="L91" t="s">
        <v>17</v>
      </c>
      <c r="M91" t="str">
        <f>IF(Table1[[#This Row],[Age]]&lt;50,"junior",IF(Table1[[#This Row],[Age]]&gt;=50,"senior"))</f>
        <v>junior</v>
      </c>
      <c r="N91" t="str">
        <f t="shared" si="2"/>
        <v>Excellent</v>
      </c>
    </row>
    <row r="92" spans="1:14" x14ac:dyDescent="0.25">
      <c r="A92" t="s">
        <v>198</v>
      </c>
      <c r="B92" t="s">
        <v>199</v>
      </c>
      <c r="C92" t="s">
        <v>20</v>
      </c>
      <c r="D92">
        <v>27</v>
      </c>
      <c r="E92" t="s">
        <v>23</v>
      </c>
      <c r="F92" t="s">
        <v>16</v>
      </c>
      <c r="G92" s="1">
        <v>45504</v>
      </c>
      <c r="H92" s="2">
        <v>67000</v>
      </c>
      <c r="I92">
        <v>219</v>
      </c>
      <c r="J92">
        <v>2</v>
      </c>
      <c r="K92">
        <v>29</v>
      </c>
      <c r="L92" t="s">
        <v>17</v>
      </c>
      <c r="M92" t="str">
        <f>IF(Table1[[#This Row],[Age]]&lt;50,"junior",IF(Table1[[#This Row],[Age]]&gt;=50,"senior"))</f>
        <v>junior</v>
      </c>
      <c r="N92" t="str">
        <f t="shared" si="2"/>
        <v>Poor</v>
      </c>
    </row>
    <row r="93" spans="1:14" x14ac:dyDescent="0.25">
      <c r="A93" t="s">
        <v>200</v>
      </c>
      <c r="B93" t="s">
        <v>201</v>
      </c>
      <c r="C93" t="s">
        <v>67</v>
      </c>
      <c r="D93">
        <v>22</v>
      </c>
      <c r="E93" t="s">
        <v>23</v>
      </c>
      <c r="F93" t="s">
        <v>24</v>
      </c>
      <c r="G93" s="1">
        <v>45704</v>
      </c>
      <c r="H93" s="2">
        <v>33000</v>
      </c>
      <c r="I93">
        <v>214</v>
      </c>
      <c r="J93">
        <v>4</v>
      </c>
      <c r="K93">
        <v>22</v>
      </c>
      <c r="L93" t="s">
        <v>32</v>
      </c>
      <c r="M93" t="str">
        <f>IF(Table1[[#This Row],[Age]]&lt;50,"junior",IF(Table1[[#This Row],[Age]]&gt;=50,"senior"))</f>
        <v>junior</v>
      </c>
      <c r="N93" t="str">
        <f t="shared" si="2"/>
        <v>Good</v>
      </c>
    </row>
    <row r="94" spans="1:14" x14ac:dyDescent="0.25">
      <c r="A94" t="s">
        <v>202</v>
      </c>
      <c r="B94" t="s">
        <v>203</v>
      </c>
      <c r="C94" t="s">
        <v>35</v>
      </c>
      <c r="D94">
        <v>38</v>
      </c>
      <c r="E94" t="s">
        <v>23</v>
      </c>
      <c r="F94" t="s">
        <v>24</v>
      </c>
      <c r="G94" s="1">
        <v>44281</v>
      </c>
      <c r="H94" s="2">
        <v>60000</v>
      </c>
      <c r="I94">
        <v>240</v>
      </c>
      <c r="J94">
        <v>1</v>
      </c>
      <c r="K94">
        <v>15</v>
      </c>
      <c r="L94" t="s">
        <v>17</v>
      </c>
      <c r="M94" t="str">
        <f>IF(Table1[[#This Row],[Age]]&lt;50,"junior",IF(Table1[[#This Row],[Age]]&gt;=50,"senior"))</f>
        <v>junior</v>
      </c>
      <c r="N94" t="str">
        <f t="shared" si="2"/>
        <v>Poor</v>
      </c>
    </row>
    <row r="95" spans="1:14" x14ac:dyDescent="0.25">
      <c r="A95" t="s">
        <v>204</v>
      </c>
      <c r="B95" t="s">
        <v>205</v>
      </c>
      <c r="C95" t="s">
        <v>27</v>
      </c>
      <c r="D95">
        <v>40</v>
      </c>
      <c r="E95" t="s">
        <v>15</v>
      </c>
      <c r="F95" t="s">
        <v>39</v>
      </c>
      <c r="G95" s="1">
        <v>44590</v>
      </c>
      <c r="H95" s="2">
        <v>43000</v>
      </c>
      <c r="I95">
        <v>246</v>
      </c>
      <c r="J95">
        <v>1</v>
      </c>
      <c r="K95">
        <v>38</v>
      </c>
      <c r="L95" t="s">
        <v>17</v>
      </c>
      <c r="M95" t="str">
        <f>IF(Table1[[#This Row],[Age]]&lt;50,"junior",IF(Table1[[#This Row],[Age]]&gt;=50,"senior"))</f>
        <v>junior</v>
      </c>
      <c r="N95" t="str">
        <f t="shared" si="2"/>
        <v>Poor</v>
      </c>
    </row>
    <row r="96" spans="1:14" x14ac:dyDescent="0.25">
      <c r="A96" t="s">
        <v>206</v>
      </c>
      <c r="B96" t="s">
        <v>207</v>
      </c>
      <c r="C96" t="s">
        <v>20</v>
      </c>
      <c r="D96">
        <v>44</v>
      </c>
      <c r="E96" t="s">
        <v>15</v>
      </c>
      <c r="F96" t="s">
        <v>16</v>
      </c>
      <c r="G96" s="1">
        <v>46009</v>
      </c>
      <c r="H96" s="2">
        <v>46000</v>
      </c>
      <c r="I96">
        <v>218</v>
      </c>
      <c r="J96">
        <v>1</v>
      </c>
      <c r="K96">
        <v>40</v>
      </c>
      <c r="L96" t="s">
        <v>17</v>
      </c>
      <c r="M96" t="str">
        <f>IF(Table1[[#This Row],[Age]]&lt;50,"junior",IF(Table1[[#This Row],[Age]]&gt;=50,"senior"))</f>
        <v>junior</v>
      </c>
      <c r="N96" t="str">
        <f t="shared" si="2"/>
        <v>Poor</v>
      </c>
    </row>
    <row r="97" spans="1:14" x14ac:dyDescent="0.25">
      <c r="A97" t="s">
        <v>208</v>
      </c>
      <c r="B97" t="s">
        <v>207</v>
      </c>
      <c r="C97" t="s">
        <v>35</v>
      </c>
      <c r="D97">
        <v>24</v>
      </c>
      <c r="E97" t="s">
        <v>23</v>
      </c>
      <c r="F97" t="s">
        <v>56</v>
      </c>
      <c r="G97" s="1">
        <v>43835</v>
      </c>
      <c r="H97" s="2">
        <v>54000</v>
      </c>
      <c r="I97">
        <v>230</v>
      </c>
      <c r="J97">
        <v>4</v>
      </c>
      <c r="K97">
        <v>11</v>
      </c>
      <c r="L97" t="s">
        <v>17</v>
      </c>
      <c r="M97" t="str">
        <f>IF(Table1[[#This Row],[Age]]&lt;50,"junior",IF(Table1[[#This Row],[Age]]&gt;=50,"senior"))</f>
        <v>junior</v>
      </c>
      <c r="N97" t="str">
        <f t="shared" si="2"/>
        <v>Good</v>
      </c>
    </row>
    <row r="98" spans="1:14" x14ac:dyDescent="0.25">
      <c r="A98" t="s">
        <v>209</v>
      </c>
      <c r="B98" t="s">
        <v>210</v>
      </c>
      <c r="C98" t="s">
        <v>27</v>
      </c>
      <c r="D98">
        <v>55</v>
      </c>
      <c r="E98" t="s">
        <v>23</v>
      </c>
      <c r="F98" t="s">
        <v>56</v>
      </c>
      <c r="G98" s="1">
        <v>44518</v>
      </c>
      <c r="H98" s="2">
        <v>73000</v>
      </c>
      <c r="I98">
        <v>228</v>
      </c>
      <c r="J98">
        <v>3</v>
      </c>
      <c r="K98">
        <v>7</v>
      </c>
      <c r="L98" t="s">
        <v>17</v>
      </c>
      <c r="M98" t="str">
        <f>IF(Table1[[#This Row],[Age]]&lt;50,"junior",IF(Table1[[#This Row],[Age]]&gt;=50,"senior"))</f>
        <v>senior</v>
      </c>
      <c r="N98" t="str">
        <f t="shared" si="2"/>
        <v>Average</v>
      </c>
    </row>
    <row r="99" spans="1:14" x14ac:dyDescent="0.25">
      <c r="A99" t="s">
        <v>211</v>
      </c>
      <c r="B99" t="s">
        <v>212</v>
      </c>
      <c r="C99" t="s">
        <v>20</v>
      </c>
      <c r="D99">
        <v>47</v>
      </c>
      <c r="E99" t="s">
        <v>23</v>
      </c>
      <c r="F99" t="s">
        <v>31</v>
      </c>
      <c r="G99" s="1">
        <v>45082</v>
      </c>
      <c r="H99" s="2">
        <v>30000</v>
      </c>
      <c r="I99">
        <v>226</v>
      </c>
      <c r="J99">
        <v>5</v>
      </c>
      <c r="K99">
        <v>7</v>
      </c>
      <c r="L99" t="s">
        <v>17</v>
      </c>
      <c r="M99" t="str">
        <f>IF(Table1[[#This Row],[Age]]&lt;50,"junior",IF(Table1[[#This Row],[Age]]&gt;=50,"senior"))</f>
        <v>junior</v>
      </c>
      <c r="N99" t="str">
        <f t="shared" si="2"/>
        <v>Excellent</v>
      </c>
    </row>
    <row r="100" spans="1:14" x14ac:dyDescent="0.25">
      <c r="A100" t="s">
        <v>213</v>
      </c>
      <c r="B100" t="s">
        <v>214</v>
      </c>
      <c r="C100" t="s">
        <v>67</v>
      </c>
      <c r="D100">
        <v>38</v>
      </c>
      <c r="E100" t="s">
        <v>23</v>
      </c>
      <c r="F100" t="s">
        <v>36</v>
      </c>
      <c r="G100" s="1">
        <v>43909</v>
      </c>
      <c r="H100" s="2">
        <v>37000</v>
      </c>
      <c r="I100">
        <v>240</v>
      </c>
      <c r="J100">
        <v>1</v>
      </c>
      <c r="K100">
        <v>39</v>
      </c>
      <c r="L100" t="s">
        <v>32</v>
      </c>
      <c r="M100" t="str">
        <f>IF(Table1[[#This Row],[Age]]&lt;50,"junior",IF(Table1[[#This Row],[Age]]&gt;=50,"senior"))</f>
        <v>junior</v>
      </c>
      <c r="N100" t="str">
        <f t="shared" si="2"/>
        <v>Poor</v>
      </c>
    </row>
    <row r="101" spans="1:14" x14ac:dyDescent="0.25">
      <c r="A101" t="s">
        <v>215</v>
      </c>
      <c r="B101" t="s">
        <v>216</v>
      </c>
      <c r="C101" t="s">
        <v>48</v>
      </c>
      <c r="D101">
        <v>36</v>
      </c>
      <c r="E101" t="s">
        <v>15</v>
      </c>
      <c r="F101" t="s">
        <v>28</v>
      </c>
      <c r="G101" s="1">
        <v>44703</v>
      </c>
      <c r="H101" s="2">
        <v>59000</v>
      </c>
      <c r="I101">
        <v>217</v>
      </c>
      <c r="J101">
        <v>2</v>
      </c>
      <c r="K101">
        <v>2</v>
      </c>
      <c r="L101" t="s">
        <v>32</v>
      </c>
      <c r="M101" t="str">
        <f>IF(Table1[[#This Row],[Age]]&lt;50,"junior",IF(Table1[[#This Row],[Age]]&gt;=50,"senior"))</f>
        <v>junior</v>
      </c>
      <c r="N101" t="str">
        <f t="shared" si="2"/>
        <v>Poor</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F3BC-5C1E-4A5E-981A-C979CFDBA596}">
  <dimension ref="B2:D12"/>
  <sheetViews>
    <sheetView topLeftCell="B1" zoomScale="189" workbookViewId="0">
      <selection activeCell="D12" sqref="D12"/>
    </sheetView>
  </sheetViews>
  <sheetFormatPr defaultRowHeight="15" x14ac:dyDescent="0.25"/>
  <cols>
    <col min="1" max="1" width="14.140625" bestFit="1" customWidth="1"/>
    <col min="2" max="2" width="10.7109375" bestFit="1" customWidth="1"/>
    <col min="3" max="3" width="39.85546875" bestFit="1" customWidth="1"/>
    <col min="4" max="4" width="13.5703125" bestFit="1" customWidth="1"/>
  </cols>
  <sheetData>
    <row r="2" spans="2:4" x14ac:dyDescent="0.25">
      <c r="B2" s="5"/>
    </row>
    <row r="3" spans="2:4" x14ac:dyDescent="0.25">
      <c r="C3" t="s">
        <v>220</v>
      </c>
      <c r="D3" t="s">
        <v>219</v>
      </c>
    </row>
    <row r="4" spans="2:4" x14ac:dyDescent="0.25">
      <c r="C4" t="s">
        <v>224</v>
      </c>
      <c r="D4" s="5">
        <f>AVERAGE(Table1[AnnualSalary_INR])</f>
        <v>58160</v>
      </c>
    </row>
    <row r="5" spans="2:4" x14ac:dyDescent="0.25">
      <c r="C5" t="s">
        <v>221</v>
      </c>
      <c r="D5">
        <f>COUNTA(Table1[EmployeeID])</f>
        <v>100</v>
      </c>
    </row>
    <row r="6" spans="2:4" x14ac:dyDescent="0.25">
      <c r="C6" t="s">
        <v>222</v>
      </c>
      <c r="D6">
        <f>COUNTIF(Employee_Data!E2:E101,"male")</f>
        <v>51</v>
      </c>
    </row>
    <row r="7" spans="2:4" x14ac:dyDescent="0.25">
      <c r="C7" t="s">
        <v>223</v>
      </c>
      <c r="D7">
        <f>COUNTIF(Employee_Data!E2:E101,"female")</f>
        <v>49</v>
      </c>
    </row>
    <row r="8" spans="2:4" x14ac:dyDescent="0.25">
      <c r="C8" t="s">
        <v>225</v>
      </c>
      <c r="D8">
        <f>AVERAGE(Table1[TrainingHours])</f>
        <v>20.34</v>
      </c>
    </row>
    <row r="9" spans="2:4" x14ac:dyDescent="0.25">
      <c r="C9" t="s">
        <v>226</v>
      </c>
      <c r="D9">
        <f>AVERAGE(Table1[Age])</f>
        <v>39.770000000000003</v>
      </c>
    </row>
    <row r="10" spans="2:4" x14ac:dyDescent="0.25">
      <c r="C10" t="s">
        <v>227</v>
      </c>
      <c r="D10" s="2">
        <f>SUM(Table1[AnnualSalary_INR])</f>
        <v>5816000</v>
      </c>
    </row>
    <row r="11" spans="2:4" x14ac:dyDescent="0.25">
      <c r="C11" t="s">
        <v>228</v>
      </c>
      <c r="D11" s="5">
        <f>SUMIF(Table1[Gender],"female",Table1[AnnualSalary_INR])</f>
        <v>2881000</v>
      </c>
    </row>
    <row r="12" spans="2:4" x14ac:dyDescent="0.25">
      <c r="C12" t="s">
        <v>229</v>
      </c>
      <c r="D12" s="5">
        <f>SUMIFS(Table1[AnnualSalary_INR],Table1[Gender],"Male",Table1[Age],"&gt;50")</f>
        <v>654000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7C78-F97B-44D7-8957-729EFE0BCBC6}">
  <dimension ref="A1:J25"/>
  <sheetViews>
    <sheetView workbookViewId="0">
      <selection activeCell="A65" sqref="A65:B74"/>
    </sheetView>
  </sheetViews>
  <sheetFormatPr defaultRowHeight="15" x14ac:dyDescent="0.25"/>
  <cols>
    <col min="1" max="1" width="17.28515625" bestFit="1" customWidth="1"/>
    <col min="2" max="2" width="23.7109375" bestFit="1" customWidth="1"/>
    <col min="3" max="3" width="10" bestFit="1" customWidth="1"/>
    <col min="4" max="4" width="16.85546875" bestFit="1" customWidth="1"/>
    <col min="5" max="5" width="23.7109375" bestFit="1" customWidth="1"/>
    <col min="6" max="6" width="10.5703125" bestFit="1" customWidth="1"/>
    <col min="7" max="7" width="8.42578125" bestFit="1" customWidth="1"/>
    <col min="8" max="8" width="12.85546875" bestFit="1" customWidth="1"/>
    <col min="9" max="9" width="5.5703125" bestFit="1" customWidth="1"/>
    <col min="10" max="10" width="11.28515625" bestFit="1" customWidth="1"/>
  </cols>
  <sheetData>
    <row r="1" spans="1:10" x14ac:dyDescent="0.25">
      <c r="A1" s="6" t="s">
        <v>235</v>
      </c>
      <c r="B1" t="s">
        <v>231</v>
      </c>
      <c r="D1" s="6" t="s">
        <v>236</v>
      </c>
      <c r="E1" t="s">
        <v>231</v>
      </c>
    </row>
    <row r="2" spans="1:10" x14ac:dyDescent="0.25">
      <c r="A2" s="7" t="s">
        <v>67</v>
      </c>
      <c r="B2" s="2">
        <v>551000</v>
      </c>
      <c r="D2" s="7" t="s">
        <v>15</v>
      </c>
      <c r="E2" s="2">
        <v>2881000</v>
      </c>
    </row>
    <row r="3" spans="1:10" x14ac:dyDescent="0.25">
      <c r="A3" s="7" t="s">
        <v>27</v>
      </c>
      <c r="B3" s="2">
        <v>1253000</v>
      </c>
      <c r="D3" s="7" t="s">
        <v>23</v>
      </c>
      <c r="E3" s="2">
        <v>2935000</v>
      </c>
    </row>
    <row r="4" spans="1:10" x14ac:dyDescent="0.25">
      <c r="A4" s="7" t="s">
        <v>20</v>
      </c>
      <c r="B4" s="2">
        <v>1036000</v>
      </c>
      <c r="D4" s="7" t="s">
        <v>230</v>
      </c>
      <c r="E4" s="2">
        <v>5816000</v>
      </c>
    </row>
    <row r="5" spans="1:10" x14ac:dyDescent="0.25">
      <c r="A5" s="7" t="s">
        <v>14</v>
      </c>
      <c r="B5" s="2">
        <v>1443000</v>
      </c>
    </row>
    <row r="6" spans="1:10" x14ac:dyDescent="0.25">
      <c r="A6" s="7" t="s">
        <v>35</v>
      </c>
      <c r="B6" s="2">
        <v>843000</v>
      </c>
    </row>
    <row r="7" spans="1:10" x14ac:dyDescent="0.25">
      <c r="A7" s="7" t="s">
        <v>48</v>
      </c>
      <c r="B7" s="2">
        <v>690000</v>
      </c>
    </row>
    <row r="8" spans="1:10" x14ac:dyDescent="0.25">
      <c r="A8" s="7" t="s">
        <v>230</v>
      </c>
      <c r="B8" s="2">
        <v>5816000</v>
      </c>
    </row>
    <row r="10" spans="1:10" x14ac:dyDescent="0.25">
      <c r="A10" s="6" t="s">
        <v>232</v>
      </c>
      <c r="B10" s="6" t="s">
        <v>237</v>
      </c>
    </row>
    <row r="11" spans="1:10" x14ac:dyDescent="0.25">
      <c r="A11" s="6" t="s">
        <v>236</v>
      </c>
      <c r="B11" t="s">
        <v>28</v>
      </c>
      <c r="C11" t="s">
        <v>56</v>
      </c>
      <c r="D11" t="s">
        <v>24</v>
      </c>
      <c r="E11" t="s">
        <v>36</v>
      </c>
      <c r="F11" t="s">
        <v>16</v>
      </c>
      <c r="G11" t="s">
        <v>49</v>
      </c>
      <c r="H11" t="s">
        <v>39</v>
      </c>
      <c r="I11" t="s">
        <v>31</v>
      </c>
      <c r="J11" t="s">
        <v>230</v>
      </c>
    </row>
    <row r="12" spans="1:10" x14ac:dyDescent="0.25">
      <c r="A12" s="7" t="s">
        <v>15</v>
      </c>
      <c r="B12" s="8">
        <v>21</v>
      </c>
      <c r="C12" s="8">
        <v>20</v>
      </c>
      <c r="D12" s="8">
        <v>37</v>
      </c>
      <c r="E12" s="8">
        <v>9</v>
      </c>
      <c r="F12" s="8">
        <v>24</v>
      </c>
      <c r="G12" s="8">
        <v>11</v>
      </c>
      <c r="H12" s="8">
        <v>11</v>
      </c>
      <c r="I12" s="8">
        <v>12</v>
      </c>
      <c r="J12" s="8">
        <v>145</v>
      </c>
    </row>
    <row r="13" spans="1:10" x14ac:dyDescent="0.25">
      <c r="A13" s="7" t="s">
        <v>23</v>
      </c>
      <c r="B13" s="8">
        <v>27</v>
      </c>
      <c r="C13" s="8">
        <v>13</v>
      </c>
      <c r="D13" s="8">
        <v>13</v>
      </c>
      <c r="E13" s="8">
        <v>10</v>
      </c>
      <c r="F13" s="8">
        <v>14</v>
      </c>
      <c r="G13" s="8">
        <v>25</v>
      </c>
      <c r="H13" s="8">
        <v>23</v>
      </c>
      <c r="I13" s="8">
        <v>18</v>
      </c>
      <c r="J13" s="8">
        <v>143</v>
      </c>
    </row>
    <row r="14" spans="1:10" x14ac:dyDescent="0.25">
      <c r="A14" s="7" t="s">
        <v>230</v>
      </c>
      <c r="B14" s="8">
        <v>48</v>
      </c>
      <c r="C14" s="8">
        <v>33</v>
      </c>
      <c r="D14" s="8">
        <v>50</v>
      </c>
      <c r="E14" s="8">
        <v>19</v>
      </c>
      <c r="F14" s="8">
        <v>38</v>
      </c>
      <c r="G14" s="8">
        <v>36</v>
      </c>
      <c r="H14" s="8">
        <v>34</v>
      </c>
      <c r="I14" s="8">
        <v>30</v>
      </c>
      <c r="J14" s="8">
        <v>288</v>
      </c>
    </row>
    <row r="16" spans="1:10" x14ac:dyDescent="0.25">
      <c r="A16" s="6" t="s">
        <v>237</v>
      </c>
      <c r="B16" t="s">
        <v>231</v>
      </c>
      <c r="D16" s="6" t="s">
        <v>217</v>
      </c>
      <c r="E16" t="s">
        <v>231</v>
      </c>
    </row>
    <row r="17" spans="1:5" x14ac:dyDescent="0.25">
      <c r="A17" s="7" t="s">
        <v>28</v>
      </c>
      <c r="B17" s="2">
        <v>820000</v>
      </c>
      <c r="D17" s="7" t="s">
        <v>233</v>
      </c>
      <c r="E17" s="2">
        <v>4361000</v>
      </c>
    </row>
    <row r="18" spans="1:5" x14ac:dyDescent="0.25">
      <c r="A18" s="7" t="s">
        <v>56</v>
      </c>
      <c r="B18" s="2">
        <v>771000</v>
      </c>
      <c r="D18" s="7" t="s">
        <v>234</v>
      </c>
      <c r="E18" s="2">
        <v>1455000</v>
      </c>
    </row>
    <row r="19" spans="1:5" x14ac:dyDescent="0.25">
      <c r="A19" s="7" t="s">
        <v>24</v>
      </c>
      <c r="B19" s="2">
        <v>957000</v>
      </c>
      <c r="D19" s="7" t="s">
        <v>230</v>
      </c>
      <c r="E19" s="2">
        <v>5816000</v>
      </c>
    </row>
    <row r="20" spans="1:5" x14ac:dyDescent="0.25">
      <c r="A20" s="7" t="s">
        <v>36</v>
      </c>
      <c r="B20" s="2">
        <v>404000</v>
      </c>
    </row>
    <row r="21" spans="1:5" x14ac:dyDescent="0.25">
      <c r="A21" s="7" t="s">
        <v>16</v>
      </c>
      <c r="B21" s="2">
        <v>967000</v>
      </c>
    </row>
    <row r="22" spans="1:5" x14ac:dyDescent="0.25">
      <c r="A22" s="7" t="s">
        <v>49</v>
      </c>
      <c r="B22" s="2">
        <v>669000</v>
      </c>
    </row>
    <row r="23" spans="1:5" x14ac:dyDescent="0.25">
      <c r="A23" s="7" t="s">
        <v>39</v>
      </c>
      <c r="B23" s="2">
        <v>689000</v>
      </c>
    </row>
    <row r="24" spans="1:5" x14ac:dyDescent="0.25">
      <c r="A24" s="7" t="s">
        <v>31</v>
      </c>
      <c r="B24" s="2">
        <v>539000</v>
      </c>
    </row>
    <row r="25" spans="1:5" x14ac:dyDescent="0.25">
      <c r="A25" s="7" t="s">
        <v>230</v>
      </c>
      <c r="B25" s="2">
        <v>5816000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F16C-BE21-4C36-BBA6-3A2D3446FA43}">
  <dimension ref="A1:AU110"/>
  <sheetViews>
    <sheetView zoomScale="54" workbookViewId="0">
      <selection activeCell="AA9" sqref="AA9"/>
    </sheetView>
  </sheetViews>
  <sheetFormatPr defaultRowHeight="15" x14ac:dyDescent="0.25"/>
  <cols>
    <col min="1" max="1" width="26.140625" bestFit="1" customWidth="1"/>
    <col min="2" max="3" width="23.7109375" bestFit="1" customWidth="1"/>
    <col min="4" max="4" width="8.28515625" bestFit="1" customWidth="1"/>
    <col min="5" max="5" width="5.7109375" bestFit="1" customWidth="1"/>
    <col min="6" max="6" width="10.5703125" bestFit="1" customWidth="1"/>
    <col min="7" max="7" width="8.42578125" bestFit="1" customWidth="1"/>
    <col min="8" max="8" width="12.85546875" bestFit="1" customWidth="1"/>
    <col min="9" max="9" width="5.5703125" bestFit="1" customWidth="1"/>
    <col min="10" max="10" width="11.28515625" bestFit="1" customWidth="1"/>
    <col min="11" max="49" width="7.7109375" bestFit="1" customWidth="1"/>
    <col min="50" max="50" width="11.28515625" bestFit="1" customWidth="1"/>
    <col min="51" max="53" width="7.7109375" bestFit="1" customWidth="1"/>
    <col min="54" max="54" width="11.28515625" bestFit="1" customWidth="1"/>
  </cols>
  <sheetData>
    <row r="1" spans="1:47" ht="15" customHeight="1" x14ac:dyDescent="0.25">
      <c r="A1" s="11" t="s">
        <v>238</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spans="1:47"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row>
    <row r="3" spans="1:47"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row>
    <row r="4" spans="1:47"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row>
    <row r="5" spans="1:47"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row>
    <row r="6" spans="1:47"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row>
    <row r="7" spans="1:47"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row>
    <row r="8" spans="1:47"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row>
    <row r="9" spans="1:47"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row>
    <row r="10" spans="1:47"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row>
    <row r="11" spans="1:47"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row>
    <row r="12" spans="1:47"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row>
    <row r="13" spans="1:47"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row>
    <row r="14" spans="1:47"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row>
    <row r="15" spans="1:47"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row>
    <row r="16" spans="1:47"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row>
    <row r="17" spans="1:47"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row>
    <row r="18" spans="1:47"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row>
    <row r="19" spans="1:47"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row>
    <row r="20" spans="1:47"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row>
    <row r="21" spans="1:47"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row>
    <row r="22" spans="1:47"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row>
    <row r="23" spans="1:47"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row>
    <row r="24" spans="1:47"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row>
    <row r="25" spans="1:47"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row>
    <row r="26" spans="1:47"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row>
    <row r="27" spans="1:47"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row>
    <row r="28" spans="1:47"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row>
    <row r="29" spans="1:47"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row>
    <row r="30" spans="1:47"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row>
    <row r="31" spans="1:47"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row>
    <row r="32" spans="1:47"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row>
    <row r="33" spans="1:47"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row>
    <row r="34" spans="1:47"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row>
    <row r="35" spans="1:47"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row>
    <row r="36" spans="1:47"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row>
    <row r="37" spans="1:47"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row>
    <row r="38" spans="1:47"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row>
    <row r="39" spans="1:47"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row>
    <row r="40" spans="1:47"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row>
    <row r="41" spans="1:47"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row>
    <row r="42" spans="1:47"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row>
    <row r="43" spans="1:47"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row>
    <row r="44" spans="1:47"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row>
    <row r="45" spans="1:47"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row>
    <row r="46" spans="1:47"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row>
    <row r="47" spans="1:47"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row>
    <row r="48" spans="1:47"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row>
    <row r="49" spans="1:47"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row>
    <row r="50" spans="1:47"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row>
    <row r="51" spans="1:47" x14ac:dyDescent="0.2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row>
    <row r="52" spans="1:47" x14ac:dyDescent="0.2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row>
    <row r="53" spans="1:47" x14ac:dyDescent="0.2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row>
    <row r="54" spans="1:47"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row>
    <row r="55" spans="1:47" x14ac:dyDescent="0.2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row>
    <row r="56" spans="1:47" x14ac:dyDescent="0.2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row>
    <row r="57" spans="1:47" x14ac:dyDescent="0.2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row>
    <row r="58" spans="1:47"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row>
    <row r="59" spans="1:47" x14ac:dyDescent="0.2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row>
    <row r="60" spans="1:47" x14ac:dyDescent="0.2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row>
    <row r="61" spans="1:47" x14ac:dyDescent="0.2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row>
    <row r="62" spans="1:47"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row>
    <row r="63" spans="1:47"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row>
    <row r="64" spans="1:47"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row>
    <row r="65" spans="1:47"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row>
    <row r="66" spans="1:47"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row>
    <row r="67" spans="1:47"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row>
    <row r="68" spans="1:47"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row>
    <row r="69" spans="1:47"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row>
    <row r="70" spans="1:47"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row>
    <row r="71" spans="1:47"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row>
    <row r="72" spans="1:47"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row>
    <row r="73" spans="1:47"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row>
    <row r="74" spans="1:47"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row>
    <row r="75" spans="1:47"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row>
    <row r="76" spans="1:47"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row>
    <row r="77" spans="1:47"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row>
    <row r="78" spans="1:47"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row>
    <row r="79" spans="1:47"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row>
    <row r="80" spans="1:47" x14ac:dyDescent="0.2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row>
    <row r="81" spans="1:47" x14ac:dyDescent="0.2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row>
    <row r="82" spans="1:47" x14ac:dyDescent="0.2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row>
    <row r="83" spans="1:47" x14ac:dyDescent="0.2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row>
    <row r="84" spans="1:47" x14ac:dyDescent="0.2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row>
    <row r="85" spans="1:47" x14ac:dyDescent="0.2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row>
    <row r="86" spans="1:47" x14ac:dyDescent="0.2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row>
    <row r="87" spans="1:47" x14ac:dyDescent="0.2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row>
    <row r="88" spans="1:47"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row>
    <row r="89" spans="1:47" x14ac:dyDescent="0.2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row>
    <row r="90" spans="1:47" x14ac:dyDescent="0.2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row>
    <row r="91" spans="1:47" x14ac:dyDescent="0.2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row>
    <row r="92" spans="1:47" x14ac:dyDescent="0.2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row>
    <row r="93" spans="1:47" x14ac:dyDescent="0.2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row>
    <row r="94" spans="1:47" x14ac:dyDescent="0.2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row>
    <row r="95" spans="1:47" x14ac:dyDescent="0.2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row>
    <row r="96" spans="1:47" x14ac:dyDescent="0.2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row>
    <row r="97" spans="1:47" x14ac:dyDescent="0.2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row>
    <row r="98" spans="1:47"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row>
    <row r="99" spans="1:47" x14ac:dyDescent="0.2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row>
    <row r="100" spans="1:47"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row>
    <row r="101" spans="1:47"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row>
    <row r="102" spans="1:47"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row>
    <row r="103" spans="1:47"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row>
    <row r="104" spans="1:47"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row>
    <row r="105" spans="1:47"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row>
    <row r="106" spans="1:47"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row>
    <row r="107" spans="1:47"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row>
    <row r="108" spans="1:47"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row>
    <row r="109" spans="1:47"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row>
    <row r="110" spans="1:47"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row>
  </sheetData>
  <mergeCells count="1">
    <mergeCell ref="A1:A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5A43C-5A40-4452-927C-8C4354BB7B9F}">
  <dimension ref="A3:B10"/>
  <sheetViews>
    <sheetView workbookViewId="0">
      <selection activeCell="E17" sqref="E17"/>
    </sheetView>
  </sheetViews>
  <sheetFormatPr defaultRowHeight="15" x14ac:dyDescent="0.25"/>
  <cols>
    <col min="1" max="1" width="17.28515625" bestFit="1" customWidth="1"/>
    <col min="2" max="2" width="23.7109375" bestFit="1" customWidth="1"/>
  </cols>
  <sheetData>
    <row r="3" spans="1:2" x14ac:dyDescent="0.25">
      <c r="A3" s="6" t="s">
        <v>235</v>
      </c>
      <c r="B3" t="s">
        <v>231</v>
      </c>
    </row>
    <row r="4" spans="1:2" x14ac:dyDescent="0.25">
      <c r="A4" s="7" t="s">
        <v>67</v>
      </c>
      <c r="B4" s="2">
        <v>551000</v>
      </c>
    </row>
    <row r="5" spans="1:2" x14ac:dyDescent="0.25">
      <c r="A5" s="7" t="s">
        <v>27</v>
      </c>
      <c r="B5" s="2">
        <v>1253000</v>
      </c>
    </row>
    <row r="6" spans="1:2" x14ac:dyDescent="0.25">
      <c r="A6" s="7" t="s">
        <v>20</v>
      </c>
      <c r="B6" s="2">
        <v>1036000</v>
      </c>
    </row>
    <row r="7" spans="1:2" x14ac:dyDescent="0.25">
      <c r="A7" s="7" t="s">
        <v>14</v>
      </c>
      <c r="B7" s="2">
        <v>1443000</v>
      </c>
    </row>
    <row r="8" spans="1:2" x14ac:dyDescent="0.25">
      <c r="A8" s="7" t="s">
        <v>35</v>
      </c>
      <c r="B8" s="2">
        <v>843000</v>
      </c>
    </row>
    <row r="9" spans="1:2" x14ac:dyDescent="0.25">
      <c r="A9" s="7" t="s">
        <v>48</v>
      </c>
      <c r="B9" s="2">
        <v>690000</v>
      </c>
    </row>
    <row r="10" spans="1:2" x14ac:dyDescent="0.25">
      <c r="A10" s="7" t="s">
        <v>230</v>
      </c>
      <c r="B10" s="2">
        <v>5816000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10CA-CA48-42C0-954B-A4772782A105}">
  <dimension ref="A3:B6"/>
  <sheetViews>
    <sheetView workbookViewId="0">
      <selection activeCell="D9" sqref="D9"/>
    </sheetView>
  </sheetViews>
  <sheetFormatPr defaultRowHeight="15" x14ac:dyDescent="0.25"/>
  <cols>
    <col min="1" max="1" width="11.28515625" bestFit="1" customWidth="1"/>
    <col min="2" max="2" width="23.7109375" bestFit="1" customWidth="1"/>
  </cols>
  <sheetData>
    <row r="3" spans="1:2" x14ac:dyDescent="0.25">
      <c r="A3" s="6" t="s">
        <v>236</v>
      </c>
      <c r="B3" t="s">
        <v>231</v>
      </c>
    </row>
    <row r="4" spans="1:2" x14ac:dyDescent="0.25">
      <c r="A4" s="7" t="s">
        <v>15</v>
      </c>
      <c r="B4" s="2">
        <v>2881000</v>
      </c>
    </row>
    <row r="5" spans="1:2" x14ac:dyDescent="0.25">
      <c r="A5" s="7" t="s">
        <v>23</v>
      </c>
      <c r="B5" s="2">
        <v>2935000</v>
      </c>
    </row>
    <row r="6" spans="1:2" x14ac:dyDescent="0.25">
      <c r="A6" s="7" t="s">
        <v>230</v>
      </c>
      <c r="B6" s="2">
        <v>5816000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A39B6-7447-4079-8600-64D980C7102E}">
  <dimension ref="A3:J7"/>
  <sheetViews>
    <sheetView workbookViewId="0">
      <selection activeCell="I19" sqref="I19"/>
    </sheetView>
  </sheetViews>
  <sheetFormatPr defaultRowHeight="15" x14ac:dyDescent="0.25"/>
  <cols>
    <col min="1" max="1" width="26.140625" bestFit="1" customWidth="1"/>
    <col min="2" max="2" width="11.7109375" bestFit="1" customWidth="1"/>
    <col min="3" max="3" width="10" bestFit="1" customWidth="1"/>
    <col min="4" max="4" width="8.28515625" bestFit="1" customWidth="1"/>
    <col min="5" max="5" width="5.7109375" bestFit="1" customWidth="1"/>
    <col min="6" max="6" width="10.5703125" bestFit="1" customWidth="1"/>
    <col min="7" max="7" width="8.42578125" bestFit="1" customWidth="1"/>
    <col min="8" max="8" width="12.85546875" bestFit="1" customWidth="1"/>
    <col min="9" max="9" width="5.5703125" bestFit="1" customWidth="1"/>
    <col min="10" max="10" width="11.28515625" bestFit="1" customWidth="1"/>
  </cols>
  <sheetData>
    <row r="3" spans="1:10" x14ac:dyDescent="0.25">
      <c r="A3" s="6" t="s">
        <v>232</v>
      </c>
      <c r="B3" s="6" t="s">
        <v>237</v>
      </c>
    </row>
    <row r="4" spans="1:10" x14ac:dyDescent="0.25">
      <c r="A4" s="6" t="s">
        <v>236</v>
      </c>
      <c r="B4" t="s">
        <v>28</v>
      </c>
      <c r="C4" t="s">
        <v>56</v>
      </c>
      <c r="D4" t="s">
        <v>24</v>
      </c>
      <c r="E4" t="s">
        <v>36</v>
      </c>
      <c r="F4" t="s">
        <v>16</v>
      </c>
      <c r="G4" t="s">
        <v>49</v>
      </c>
      <c r="H4" t="s">
        <v>39</v>
      </c>
      <c r="I4" t="s">
        <v>31</v>
      </c>
      <c r="J4" t="s">
        <v>230</v>
      </c>
    </row>
    <row r="5" spans="1:10" x14ac:dyDescent="0.25">
      <c r="A5" s="7" t="s">
        <v>15</v>
      </c>
      <c r="B5" s="8">
        <v>21</v>
      </c>
      <c r="C5" s="8">
        <v>20</v>
      </c>
      <c r="D5" s="8">
        <v>37</v>
      </c>
      <c r="E5" s="8">
        <v>9</v>
      </c>
      <c r="F5" s="8">
        <v>24</v>
      </c>
      <c r="G5" s="8">
        <v>11</v>
      </c>
      <c r="H5" s="8">
        <v>11</v>
      </c>
      <c r="I5" s="8">
        <v>12</v>
      </c>
      <c r="J5" s="8">
        <v>145</v>
      </c>
    </row>
    <row r="6" spans="1:10" x14ac:dyDescent="0.25">
      <c r="A6" s="7" t="s">
        <v>23</v>
      </c>
      <c r="B6" s="8">
        <v>27</v>
      </c>
      <c r="C6" s="8">
        <v>13</v>
      </c>
      <c r="D6" s="8">
        <v>13</v>
      </c>
      <c r="E6" s="8">
        <v>10</v>
      </c>
      <c r="F6" s="8">
        <v>14</v>
      </c>
      <c r="G6" s="8">
        <v>25</v>
      </c>
      <c r="H6" s="8">
        <v>23</v>
      </c>
      <c r="I6" s="8">
        <v>18</v>
      </c>
      <c r="J6" s="8">
        <v>143</v>
      </c>
    </row>
    <row r="7" spans="1:10" x14ac:dyDescent="0.25">
      <c r="A7" s="7" t="s">
        <v>230</v>
      </c>
      <c r="B7" s="8">
        <v>48</v>
      </c>
      <c r="C7" s="8">
        <v>33</v>
      </c>
      <c r="D7" s="8">
        <v>50</v>
      </c>
      <c r="E7" s="8">
        <v>19</v>
      </c>
      <c r="F7" s="8">
        <v>38</v>
      </c>
      <c r="G7" s="8">
        <v>36</v>
      </c>
      <c r="H7" s="8">
        <v>34</v>
      </c>
      <c r="I7" s="8">
        <v>30</v>
      </c>
      <c r="J7" s="8">
        <v>288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1140E-A9D8-4ADE-8B04-8A4CEAB3435D}">
  <dimension ref="A3:B12"/>
  <sheetViews>
    <sheetView topLeftCell="D1" workbookViewId="0">
      <selection activeCell="E14" sqref="E14"/>
    </sheetView>
  </sheetViews>
  <sheetFormatPr defaultRowHeight="15" x14ac:dyDescent="0.25"/>
  <cols>
    <col min="1" max="1" width="12.7109375" bestFit="1" customWidth="1"/>
    <col min="2" max="2" width="23.7109375" bestFit="1" customWidth="1"/>
  </cols>
  <sheetData>
    <row r="3" spans="1:2" x14ac:dyDescent="0.25">
      <c r="A3" s="6" t="s">
        <v>237</v>
      </c>
      <c r="B3" t="s">
        <v>231</v>
      </c>
    </row>
    <row r="4" spans="1:2" x14ac:dyDescent="0.25">
      <c r="A4" s="7" t="s">
        <v>28</v>
      </c>
      <c r="B4" s="2">
        <v>820000</v>
      </c>
    </row>
    <row r="5" spans="1:2" x14ac:dyDescent="0.25">
      <c r="A5" s="7" t="s">
        <v>56</v>
      </c>
      <c r="B5" s="2">
        <v>771000</v>
      </c>
    </row>
    <row r="6" spans="1:2" x14ac:dyDescent="0.25">
      <c r="A6" s="7" t="s">
        <v>24</v>
      </c>
      <c r="B6" s="2">
        <v>957000</v>
      </c>
    </row>
    <row r="7" spans="1:2" x14ac:dyDescent="0.25">
      <c r="A7" s="7" t="s">
        <v>36</v>
      </c>
      <c r="B7" s="2">
        <v>404000</v>
      </c>
    </row>
    <row r="8" spans="1:2" x14ac:dyDescent="0.25">
      <c r="A8" s="7" t="s">
        <v>16</v>
      </c>
      <c r="B8" s="2">
        <v>967000</v>
      </c>
    </row>
    <row r="9" spans="1:2" x14ac:dyDescent="0.25">
      <c r="A9" s="7" t="s">
        <v>49</v>
      </c>
      <c r="B9" s="2">
        <v>669000</v>
      </c>
    </row>
    <row r="10" spans="1:2" x14ac:dyDescent="0.25">
      <c r="A10" s="7" t="s">
        <v>39</v>
      </c>
      <c r="B10" s="2">
        <v>689000</v>
      </c>
    </row>
    <row r="11" spans="1:2" x14ac:dyDescent="0.25">
      <c r="A11" s="7" t="s">
        <v>31</v>
      </c>
      <c r="B11" s="2">
        <v>539000</v>
      </c>
    </row>
    <row r="12" spans="1:2" x14ac:dyDescent="0.25">
      <c r="A12" s="7" t="s">
        <v>230</v>
      </c>
      <c r="B12" s="2">
        <v>5816000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4890-C4EC-4CFA-B922-4673984133A6}">
  <dimension ref="A3:B12"/>
  <sheetViews>
    <sheetView topLeftCell="AN1" workbookViewId="0">
      <selection activeCell="BC21" sqref="BC21"/>
    </sheetView>
  </sheetViews>
  <sheetFormatPr defaultRowHeight="15" x14ac:dyDescent="0.25"/>
  <cols>
    <col min="1" max="1" width="12.7109375" bestFit="1" customWidth="1"/>
    <col min="2" max="2" width="23.7109375" bestFit="1" customWidth="1"/>
  </cols>
  <sheetData>
    <row r="3" spans="1:2" x14ac:dyDescent="0.25">
      <c r="A3" s="6" t="s">
        <v>237</v>
      </c>
      <c r="B3" t="s">
        <v>231</v>
      </c>
    </row>
    <row r="4" spans="1:2" x14ac:dyDescent="0.25">
      <c r="A4" s="7" t="s">
        <v>28</v>
      </c>
      <c r="B4" s="2">
        <v>820000</v>
      </c>
    </row>
    <row r="5" spans="1:2" x14ac:dyDescent="0.25">
      <c r="A5" s="7" t="s">
        <v>56</v>
      </c>
      <c r="B5" s="2">
        <v>771000</v>
      </c>
    </row>
    <row r="6" spans="1:2" x14ac:dyDescent="0.25">
      <c r="A6" s="7" t="s">
        <v>24</v>
      </c>
      <c r="B6" s="2">
        <v>957000</v>
      </c>
    </row>
    <row r="7" spans="1:2" x14ac:dyDescent="0.25">
      <c r="A7" s="7" t="s">
        <v>36</v>
      </c>
      <c r="B7" s="2">
        <v>404000</v>
      </c>
    </row>
    <row r="8" spans="1:2" x14ac:dyDescent="0.25">
      <c r="A8" s="7" t="s">
        <v>16</v>
      </c>
      <c r="B8" s="2">
        <v>967000</v>
      </c>
    </row>
    <row r="9" spans="1:2" x14ac:dyDescent="0.25">
      <c r="A9" s="7" t="s">
        <v>49</v>
      </c>
      <c r="B9" s="2">
        <v>669000</v>
      </c>
    </row>
    <row r="10" spans="1:2" x14ac:dyDescent="0.25">
      <c r="A10" s="7" t="s">
        <v>39</v>
      </c>
      <c r="B10" s="2">
        <v>689000</v>
      </c>
    </row>
    <row r="11" spans="1:2" x14ac:dyDescent="0.25">
      <c r="A11" s="7" t="s">
        <v>31</v>
      </c>
      <c r="B11" s="2">
        <v>539000</v>
      </c>
    </row>
    <row r="12" spans="1:2" x14ac:dyDescent="0.25">
      <c r="A12" s="7" t="s">
        <v>230</v>
      </c>
      <c r="B12" s="2">
        <v>5816000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4529-61ED-4E32-966C-A6A875DC7B29}">
  <dimension ref="A3:B6"/>
  <sheetViews>
    <sheetView topLeftCell="J1" workbookViewId="0">
      <selection activeCell="A3" sqref="A3:B6"/>
      <pivotSelection pane="bottomRight" showHeader="1" click="1" r:id="rId1">
        <pivotArea type="all" dataOnly="0" outline="0" fieldPosition="0"/>
      </pivotSelection>
    </sheetView>
  </sheetViews>
  <sheetFormatPr defaultRowHeight="15" x14ac:dyDescent="0.25"/>
  <sheetData>
    <row r="3" spans="1:2" x14ac:dyDescent="0.25">
      <c r="A3" s="6" t="s">
        <v>217</v>
      </c>
      <c r="B3" t="s">
        <v>231</v>
      </c>
    </row>
    <row r="4" spans="1:2" x14ac:dyDescent="0.25">
      <c r="A4" s="7" t="s">
        <v>233</v>
      </c>
      <c r="B4" s="2">
        <v>4361000</v>
      </c>
    </row>
    <row r="5" spans="1:2" x14ac:dyDescent="0.25">
      <c r="A5" s="7" t="s">
        <v>234</v>
      </c>
      <c r="B5" s="2">
        <v>1455000</v>
      </c>
    </row>
    <row r="6" spans="1:2" x14ac:dyDescent="0.25">
      <c r="A6" s="7" t="s">
        <v>230</v>
      </c>
      <c r="B6" s="2">
        <v>5816000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Employee_Data</vt:lpstr>
      <vt:lpstr>important KPIs</vt:lpstr>
      <vt:lpstr>pivot charts</vt:lpstr>
      <vt:lpstr>dashboard</vt:lpstr>
      <vt:lpstr>Sheet6</vt:lpstr>
      <vt:lpstr>Sheet7</vt:lpstr>
      <vt:lpstr>Sheet8</vt:lpstr>
      <vt:lpstr>Sheet9</vt:lpstr>
      <vt:lpstr>Sheet10</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Gourishree Midina</cp:lastModifiedBy>
  <dcterms:created xsi:type="dcterms:W3CDTF">2026-10-22T04:34:34Z</dcterms:created>
  <dcterms:modified xsi:type="dcterms:W3CDTF">2026-10-22T06:11:02Z</dcterms:modified>
</cp:coreProperties>
</file>